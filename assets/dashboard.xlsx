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150" windowWidth="16275" windowHeight="3615"/>
  </bookViews>
  <sheets>
    <sheet name="Summary" sheetId="6" r:id="rId1"/>
    <sheet name="Weekly Analysis" sheetId="9" r:id="rId2"/>
    <sheet name="WK1" sheetId="1" r:id="rId3"/>
    <sheet name="WK2 " sheetId="2" r:id="rId4"/>
    <sheet name="WK3" sheetId="3" r:id="rId5"/>
    <sheet name="WK4" sheetId="8" r:id="rId6"/>
    <sheet name="WK5" sheetId="7" r:id="rId7"/>
    <sheet name="Monthly_Totals" sheetId="10" r:id="rId8"/>
  </sheets>
  <externalReferences>
    <externalReference r:id="rId9"/>
    <externalReference r:id="rId10"/>
  </externalReferences>
  <definedNames>
    <definedName name="AA_Goodnews">Summary!$Y$17:$Y$21</definedName>
    <definedName name="AA_Heritage">Summary!$Y$23:$Y$26</definedName>
    <definedName name="AA_Love">Summary!$Y$7:$Y$10</definedName>
    <definedName name="AA_Maranatha">Summary!$Y$12:$Y$15</definedName>
    <definedName name="AA_Oyigbo">Summary!$Y$28:$Y$36</definedName>
    <definedName name="AA_Revival">Summary!$Y$38:$Y$50</definedName>
    <definedName name="AA_Zone">Summary!$Y$51,Summary!$Y$37,Summary!$Y$27,Summary!$Y$22,Summary!$Y$16,Summary!$Y$11</definedName>
    <definedName name="AD_Goodnews">Summary!$AA$17:$AA$21</definedName>
    <definedName name="AD_Heritage">Summary!$AA$23:$AA$26</definedName>
    <definedName name="AD_Love">Summary!$AA$7:$AA$10</definedName>
    <definedName name="AD_Maranatha">Summary!$AA$12:$AA$15</definedName>
    <definedName name="AD_Oyigbo">Summary!$AA$28:$AA$36</definedName>
    <definedName name="AD_Revival">Summary!$AA$38:$AA$50</definedName>
    <definedName name="AD_Zone">Summary!$AA$11,Summary!$AA$16,Summary!$AA$22,Summary!$AA$27,Summary!$AA$38,Summary!$AA$37,Summary!$AA$51</definedName>
    <definedName name="AE_Goodnews">Summary!$AC$17:$AC$21</definedName>
    <definedName name="AE_Heritage">Summary!$AC$23:$AC$26</definedName>
    <definedName name="AE_Love">Summary!$AC$7:$AC$10</definedName>
    <definedName name="AE_Maranatha">Summary!$AC$12:$AC$15</definedName>
    <definedName name="AE_Oyigbo">Summary!$AC$28:$AC$36</definedName>
    <definedName name="AE_Revival">Summary!$AC$38:$AC$50</definedName>
    <definedName name="AE_Zone">Summary!$AC$51,Summary!$AC$37,Summary!$AC$27,Summary!$AC$22,Summary!$AC$16,Summary!$AC$11</definedName>
    <definedName name="AF_Goodnews">Summary!$AD$17:$AD$21</definedName>
    <definedName name="AF_Heritage">Summary!$AD$23:$AD$26</definedName>
    <definedName name="AF_Love">Summary!$AD$7:$AD$10</definedName>
    <definedName name="AF_Maranatha">Summary!$AD$12:$AD$15</definedName>
    <definedName name="AF_Oyigbo">Summary!$AD$28:$AD$36</definedName>
    <definedName name="AF_Revival">Summary!$AD$38:$AD$50</definedName>
    <definedName name="AF_Zone">Summary!$AD$51,Summary!$AD$37,Summary!$AD$27,Summary!$AD$22,Summary!$AD$16,Summary!$AD$11</definedName>
    <definedName name="AG_Goodnews">Summary!$AE$17:$AE$21</definedName>
    <definedName name="AG_Heritage">Summary!$AE$23:$AE$26</definedName>
    <definedName name="AG_Love">Summary!$AE$7:$AE$10</definedName>
    <definedName name="AG_Maranatha">Summary!$AE$12:$AE$15</definedName>
    <definedName name="AG_Oyigbo">Summary!$AE$28:$AE$36</definedName>
    <definedName name="AG_Revival">Summary!$AE$38:$AE$50</definedName>
    <definedName name="AG_Zone">Summary!$AE$51,Summary!$AE$37,Summary!$AE$27,Summary!$AE$22,Summary!$AE$16,Summary!$AE$11</definedName>
    <definedName name="AL_Goodnews">Summary!$AJ$17:$AJ$21</definedName>
    <definedName name="AL_Heritage">Summary!$AJ$23:$AJ$26</definedName>
    <definedName name="AL_Love">Summary!$AJ$7:$AJ$10</definedName>
    <definedName name="AL_Maranatha">Summary!$AJ$12:$AJ$15</definedName>
    <definedName name="AL_Oyigbo">Summary!$AJ$28:$AJ$36</definedName>
    <definedName name="AL_Revival">Summary!$AJ$38:$AJ$50</definedName>
    <definedName name="AL_Zone">Summary!$AJ$11,Summary!$AJ$16,Summary!$AJ$22,Summary!$AJ$27,Summary!$AJ$37,Summary!$AJ$51</definedName>
    <definedName name="AM_Goodnews">Summary!$AK$17:$AK$21</definedName>
    <definedName name="AM_Heritage">Summary!$AK$23:$AK$26</definedName>
    <definedName name="AM_Love">Summary!$AK$7:$AK$10</definedName>
    <definedName name="AM_Maranatha">Summary!$AK$12:$AK$15</definedName>
    <definedName name="AM_Oyigbo">Summary!$AK$28:$AK$36</definedName>
    <definedName name="AM_Revival">Summary!$AK$38:$AK$50</definedName>
    <definedName name="AM_Zone">Summary!$AK$51,Summary!$AK$37,Summary!$AK$27,Summary!$AK$22,Summary!$AK$16,Summary!$AK$11</definedName>
    <definedName name="AN_Goodnews">Summary!$AL$17:$AL$21</definedName>
    <definedName name="AN_Heritage">Summary!$AL$23:$AL$26</definedName>
    <definedName name="AN_Love">Summary!$AL$7:$AL$10</definedName>
    <definedName name="AN_Maranatha">Summary!$AL$12:$AL$15</definedName>
    <definedName name="AN_Oyigbo">Summary!$AL$28:$AL$36</definedName>
    <definedName name="AN_Revival">Summary!$AL$38:$AL$50</definedName>
    <definedName name="AN_Zone">Summary!$AL$11,Summary!$AL$16,Summary!$AL$22,Summary!$AL$27,Summary!$AL$37,Summary!$AL$51</definedName>
    <definedName name="AO_Goodnews">Summary!$AM$17:$AM$21</definedName>
    <definedName name="AO_Heritage">Summary!$AM$23:$AM$26</definedName>
    <definedName name="AO_Love">Summary!$AM$7:$AM$10</definedName>
    <definedName name="AO_Maranatha">Summary!$AM$12:$AM$15</definedName>
    <definedName name="AO_Oyigbo">Summary!$AM$28:$AM$36</definedName>
    <definedName name="AO_Revival">Summary!$AM$38:$AM$50</definedName>
    <definedName name="AO_Zone">Summary!$AM$11,Summary!$AM$16,Summary!$AM$22,Summary!$AM$27,Summary!$AM$37,Summary!$AM$51</definedName>
    <definedName name="AQ_Goodnews">Summary!$AO$17:$AO$21</definedName>
    <definedName name="AQ_Heritage">Summary!$AO$23:$AO$26</definedName>
    <definedName name="AQ_Love">Summary!$AO$7:$AO$10</definedName>
    <definedName name="AQ_Maranatha">Summary!$AO$12:$AO$15</definedName>
    <definedName name="AQ_Oyigbo">Summary!$AO$28:$AO$36</definedName>
    <definedName name="AQ_Revival">Summary!$AO$38:$AO$50</definedName>
    <definedName name="AQ_Zone">Summary!$AO$51,Summary!$AO$37,Summary!$AO$27,Summary!$AO$22,Summary!$AO$16,Summary!$AO$11</definedName>
    <definedName name="AR_Goodnews">Summary!$AP$17:$AP$21</definedName>
    <definedName name="AR_Heritage">Summary!$AP$23:$AP$26</definedName>
    <definedName name="AR_Love">Summary!$AP$7:$AP$10</definedName>
    <definedName name="AR_Maranatha">Summary!$AP$12:$AP$15</definedName>
    <definedName name="AR_Oyigbo">Summary!$AP$28:$AP$36</definedName>
    <definedName name="AR_Revival">Summary!$AP$38:$AP$50</definedName>
    <definedName name="AR_Zone">Summary!$AP$51,Summary!$AP$37,Summary!$AP$27,Summary!$AP$22,Summary!$AP$16,Summary!$AP$11</definedName>
    <definedName name="AS_Goodnews">Summary!$AQ$17:$AQ$21</definedName>
    <definedName name="AS_Heritage">Summary!$AQ$23:$AQ$26</definedName>
    <definedName name="AS_Love">Summary!$AQ$7:$AQ$10</definedName>
    <definedName name="AS_Maranatha">Summary!$AQ$12:$AQ$15</definedName>
    <definedName name="AS_Oyigbo">Summary!$AQ$28:$AQ$36</definedName>
    <definedName name="AS_Revival">Summary!$AQ$38:$AQ$50</definedName>
    <definedName name="AS_Zone">Summary!$AQ$51,Summary!$AQ$37,Summary!$AQ$27,Summary!$AQ$22,Summary!$AQ$16,Summary!$AQ$11</definedName>
    <definedName name="AT_Goodnews">Summary!$AR$17:$AR$21</definedName>
    <definedName name="AT_Heritage">Summary!$AR$23:$AR$26</definedName>
    <definedName name="AT_Love">Summary!$AR$7:$AR$10</definedName>
    <definedName name="AT_Maranatha">Summary!$AR$12:$AR$15</definedName>
    <definedName name="AT_Oyigbo">Summary!$AR$28:$AR$36</definedName>
    <definedName name="AT_Revival">Summary!$AR$38:$AR$50</definedName>
    <definedName name="AT_Zone">Summary!$AR$51,Summary!$AR$37,Summary!$AR$27,Summary!$AR$22,Summary!$AR$16,Summary!$AR$11</definedName>
    <definedName name="AU_Goodnews">Summary!$AS$17:$AS$21</definedName>
    <definedName name="AU_Heritage">Summary!$AS$23:$AS$26</definedName>
    <definedName name="AU_Love">Summary!$AS$7:$AS$10</definedName>
    <definedName name="AU_Maranatha">Summary!$AS$12:$AS$15</definedName>
    <definedName name="AU_Oyigbo">Summary!$AS$28:$AS$36</definedName>
    <definedName name="AU_Revival">Summary!$AS$38:$AS$50</definedName>
    <definedName name="AU_Zone">Summary!$AS$51,Summary!$AS$37,Summary!$AS$27,Summary!$AS$22,Summary!$AS$16,Summary!$AS$11</definedName>
    <definedName name="BF_Goodnews">Summary!$BD$17:$BD$21</definedName>
    <definedName name="BF_Heritage">Summary!$BD$23:$BD$26</definedName>
    <definedName name="BF_Love">Summary!$BD$7:$BD$10</definedName>
    <definedName name="BF_Maranatha">Summary!$BD$12:$BD$15</definedName>
    <definedName name="BF_Oyigbo">Summary!$BD$28:$BD$36</definedName>
    <definedName name="BF_Revival">Summary!$BD$38:$BD$50</definedName>
    <definedName name="BF_Zone">Summary!$BD$51,Summary!$BD$37,Summary!$BD$27,Summary!$BD$22,Summary!$BD$16,Summary!$BD$11</definedName>
    <definedName name="J_Goodnews">Summary!$J$17:$J$21</definedName>
    <definedName name="J_Heritage">Summary!$J$23:$J$26</definedName>
    <definedName name="J_Love">Summary!$J$7:$J$10</definedName>
    <definedName name="J_Maranatha">Summary!$J$12:$J$15</definedName>
    <definedName name="J_Oyigbo">Summary!$J$28:$J$36</definedName>
    <definedName name="J_Revival">Summary!$J$38:$J$50</definedName>
    <definedName name="J_Zone">Summary!$J$51,Summary!$J$37,Summary!$J$27,Summary!$J$22,Summary!$J$16,Summary!$J$11</definedName>
    <definedName name="K_Goodnews">Summary!$K$17:$K$21</definedName>
    <definedName name="K_Heritage">Summary!$K$23:$K$26</definedName>
    <definedName name="K_Love">Summary!$K$7:$K$10</definedName>
    <definedName name="K_Maranatha">Summary!$K$12:$K$15</definedName>
    <definedName name="K_Oyigbo">Summary!$K$28:$K$36</definedName>
    <definedName name="K_Revival">Summary!$K$38:$K$50</definedName>
    <definedName name="K_Zone">Summary!$K$51,Summary!$K$37,Summary!$K$27,Summary!$K$22,Summary!$K$16,Summary!$K$11</definedName>
    <definedName name="L_Goodnews">Summary!$L$17:$L$21</definedName>
    <definedName name="L_Heritage">Summary!$L$23:$L$26</definedName>
    <definedName name="L_Love">Summary!$L$7:$L$10</definedName>
    <definedName name="L_Maranatha">Summary!$L$12:$L$15</definedName>
    <definedName name="L_Oyigbo">Summary!$L$28:$L$36</definedName>
    <definedName name="L_Revival">Summary!$L$38:$L$50</definedName>
    <definedName name="L_Zone">Summary!$L$51,Summary!$L$37,Summary!$L$27,Summary!$L$22,Summary!$L$16,Summary!$L$11</definedName>
    <definedName name="M_Goodnews">Summary!$M$17:$M$21</definedName>
    <definedName name="M_Heritage">Summary!$M$23:$M$26</definedName>
    <definedName name="M_Love">Summary!$M$7:$M$10</definedName>
    <definedName name="M_Maranatha">Summary!$M$12:$M$15</definedName>
    <definedName name="M_Oyigbo">Summary!$M$28:$M$36</definedName>
    <definedName name="M_Revival">Summary!$M$38:$M$50</definedName>
    <definedName name="M_Zone">Summary!$M$51,Summary!$M$37,Summary!$M$27,Summary!$M$22,Summary!$M$16,Summary!$M$11</definedName>
    <definedName name="O_Goodnews">Summary!$O$17:$O$21</definedName>
    <definedName name="O_Heritage">Summary!$O$23:$O$26</definedName>
    <definedName name="O_Love">Summary!$O$7:$O$10</definedName>
    <definedName name="O_Maranatha">Summary!$O$12:$O$15</definedName>
    <definedName name="O_Oyigbo">Summary!$O$28:$O$36</definedName>
    <definedName name="O_Revival">Summary!$O$38:$O$50</definedName>
    <definedName name="O_Zone">Summary!$O$51,Summary!$O$37,Summary!$O$27,Summary!$O$22,Summary!$O$16,Summary!$O$11</definedName>
    <definedName name="P_Goodnews">Summary!$P$17:$P$21</definedName>
    <definedName name="P_Heritage">Summary!$P$23:$P$26</definedName>
    <definedName name="P_Love">Summary!$P$7:$P$10</definedName>
    <definedName name="P_Maranatha">Summary!$P$12:$P$15</definedName>
    <definedName name="P_Oyigbo">Summary!$P$28:$P$36</definedName>
    <definedName name="P_Revival">Summary!$P$38:$P$50</definedName>
    <definedName name="P_Zone">Summary!$P$51,Summary!$P$37,Summary!$P$27,Summary!$P$22,Summary!$P$16,Summary!$P$11</definedName>
    <definedName name="Q_Goodnews">Summary!$Q$17:$Q$21</definedName>
    <definedName name="Q_Heritage">Summary!$Q$23:$Q$26</definedName>
    <definedName name="Q_Love">Summary!$Q$7:$Q$10</definedName>
    <definedName name="Q_Maranatha">Summary!$Q$12:$Q$15</definedName>
    <definedName name="Q_Oyigbo">Summary!$Q$28:$Q$36</definedName>
    <definedName name="Q_Revival">Summary!$Q$38:$Q$50</definedName>
    <definedName name="Q_Zone">Summary!$Q$11,Summary!$Q$16,Summary!$Q$22,Summary!$Q$27,Summary!$Q$37,Summary!$Q$51</definedName>
    <definedName name="R_Goodnews">Summary!$R$17:$R$21</definedName>
    <definedName name="R_Heritage">Summary!$R$23:$R$26</definedName>
    <definedName name="R_Love">Summary!$R$7:$R$10</definedName>
    <definedName name="R_Maranatha">Summary!$R$12:$R$15</definedName>
    <definedName name="R_Oyigbo">Summary!$R$28:$R$36</definedName>
    <definedName name="R_Revival">Summary!$R$38:$R$50</definedName>
    <definedName name="R_Zone">Summary!$R$11,Summary!$R$16,Summary!$R$22,Summary!$R$27,Summary!$R$37,Summary!$R$51</definedName>
    <definedName name="S_Goodnews">Summary!$R$17:$R$21</definedName>
    <definedName name="S_Heritage">Summary!$R$23:$R$26</definedName>
    <definedName name="S_Love">Summary!$R$7:$R$10</definedName>
    <definedName name="S_Maranatha">Summary!$R$12:$R$15</definedName>
    <definedName name="S_Oyigbo">Summary!$R$28:$R$36</definedName>
    <definedName name="S_Revival">Summary!$R$38:$R$50</definedName>
    <definedName name="S_Zone">Summary!$R$51,Summary!$R$37,Summary!$R$27,Summary!$R$22,Summary!$R$16,Summary!$R$11</definedName>
    <definedName name="X_Goodnews">Summary!$W$17:$W$21</definedName>
    <definedName name="X_Heritage">Summary!$W$23:$W$26</definedName>
    <definedName name="X_Love">Summary!$W$7:$W$10</definedName>
    <definedName name="X_Maranatha">Summary!$W$12:$W$15</definedName>
    <definedName name="X_Oyigbo">Summary!$W$28:$W$36</definedName>
    <definedName name="X_Revival">Summary!$W$38:$W$50</definedName>
    <definedName name="X_Zone">Summary!$W$51,Summary!$W$37,Summary!$W$27,Summary!$W$22,Summary!$W$16,Summary!$W$11</definedName>
    <definedName name="Y_Goodnews">Summary!$X$17:$X$21</definedName>
    <definedName name="Y_Heritage">Summary!$X$23:$X$26</definedName>
    <definedName name="Y_Love">Summary!$X$7:$X$10</definedName>
    <definedName name="Y_Maranatha">Summary!$X$12:$X$15</definedName>
    <definedName name="Y_Oyigbo">Summary!$X$28:$X$36</definedName>
    <definedName name="Y_Revival">Summary!$X$38:$X$50</definedName>
    <definedName name="Y_Zone">Summary!$X$16,Summary!$X$11,Summary!$X$22,Summary!$X$27,Summary!$X$37,Summary!$X$51</definedName>
    <definedName name="Z_Goodnews">Summary!#REF!</definedName>
    <definedName name="Z_Heritage">Summary!#REF!</definedName>
    <definedName name="Z_Love">Summary!#REF!</definedName>
    <definedName name="Z_Maranatha">Summary!#REF!</definedName>
    <definedName name="Z_Oyigbo">Summary!#REF!</definedName>
    <definedName name="Z_Revival">Summary!#REF!</definedName>
    <definedName name="Z_Zone">Summary!#REF!,Summary!#REF!,Summary!#REF!,Summary!#REF!,Summary!#REF!,Summary!#REF!</definedName>
  </definedNames>
  <calcPr calcId="145621"/>
</workbook>
</file>

<file path=xl/calcChain.xml><?xml version="1.0" encoding="utf-8"?>
<calcChain xmlns="http://schemas.openxmlformats.org/spreadsheetml/2006/main">
  <c r="N47" i="6" l="1"/>
  <c r="N48" i="6"/>
  <c r="N49" i="6"/>
  <c r="N50" i="6"/>
  <c r="N46" i="6"/>
  <c r="N45" i="6"/>
  <c r="N44" i="6"/>
  <c r="N43" i="6"/>
  <c r="N42" i="6"/>
  <c r="N41" i="6"/>
  <c r="N40" i="6"/>
  <c r="N39" i="6"/>
  <c r="N38" i="6"/>
  <c r="N32" i="6"/>
  <c r="N33" i="6"/>
  <c r="N34" i="6"/>
  <c r="N35" i="6"/>
  <c r="N36" i="6"/>
  <c r="N31" i="6"/>
  <c r="N30" i="6"/>
  <c r="N29" i="6"/>
  <c r="N28" i="6"/>
  <c r="N24" i="6"/>
  <c r="N25" i="6"/>
  <c r="N26" i="6"/>
  <c r="N23" i="6"/>
  <c r="N21" i="6"/>
  <c r="N20" i="6"/>
  <c r="N19" i="6"/>
  <c r="N18" i="6"/>
  <c r="N17" i="6"/>
  <c r="N13" i="6"/>
  <c r="N14" i="6"/>
  <c r="N15" i="6"/>
  <c r="N12" i="6"/>
  <c r="N8" i="6"/>
  <c r="N9" i="6"/>
  <c r="N10" i="6"/>
  <c r="N7" i="6"/>
  <c r="J47" i="6"/>
  <c r="J48" i="6"/>
  <c r="J49" i="6"/>
  <c r="J50" i="6"/>
  <c r="J46" i="6"/>
  <c r="J45" i="6"/>
  <c r="J44" i="6"/>
  <c r="J43" i="6"/>
  <c r="J42" i="6"/>
  <c r="J41" i="6"/>
  <c r="J40" i="6"/>
  <c r="J39" i="6"/>
  <c r="J38" i="6"/>
  <c r="J32" i="6"/>
  <c r="J33" i="6"/>
  <c r="J34" i="6"/>
  <c r="J35" i="6"/>
  <c r="J36" i="6"/>
  <c r="J31" i="6"/>
  <c r="J30" i="6"/>
  <c r="J29" i="6"/>
  <c r="J28" i="6"/>
  <c r="J24" i="6"/>
  <c r="J25" i="6"/>
  <c r="J26" i="6"/>
  <c r="J23" i="6"/>
  <c r="J18" i="6"/>
  <c r="J19" i="6"/>
  <c r="J20" i="6"/>
  <c r="J21" i="6"/>
  <c r="J17" i="6"/>
  <c r="J13" i="6"/>
  <c r="J14" i="6"/>
  <c r="J15" i="6"/>
  <c r="J12" i="6"/>
  <c r="J8" i="6"/>
  <c r="J9" i="6"/>
  <c r="J10" i="6"/>
  <c r="J7" i="6"/>
  <c r="O47" i="6"/>
  <c r="O48" i="6"/>
  <c r="O49" i="6"/>
  <c r="O50" i="6"/>
  <c r="O46" i="6"/>
  <c r="O45" i="6"/>
  <c r="O44" i="6"/>
  <c r="O43" i="6"/>
  <c r="O42" i="6"/>
  <c r="O41" i="6"/>
  <c r="O40" i="6"/>
  <c r="O39" i="6"/>
  <c r="O38" i="6"/>
  <c r="O32" i="6"/>
  <c r="O33" i="6"/>
  <c r="O34" i="6"/>
  <c r="O35" i="6"/>
  <c r="O36" i="6"/>
  <c r="O31" i="6"/>
  <c r="O30" i="6"/>
  <c r="O29" i="6"/>
  <c r="O28" i="6"/>
  <c r="O24" i="6"/>
  <c r="O25" i="6"/>
  <c r="O26" i="6"/>
  <c r="O23" i="6"/>
  <c r="O18" i="6"/>
  <c r="O19" i="6"/>
  <c r="O20" i="6"/>
  <c r="O21" i="6"/>
  <c r="O17" i="6"/>
  <c r="F50" i="6"/>
  <c r="G50" i="6"/>
  <c r="H50" i="6"/>
  <c r="F42" i="6"/>
  <c r="G42" i="6"/>
  <c r="H42" i="6"/>
  <c r="F43" i="6"/>
  <c r="G43" i="6"/>
  <c r="H43" i="6"/>
  <c r="F44" i="6"/>
  <c r="G44" i="6"/>
  <c r="H44" i="6"/>
  <c r="F45" i="6"/>
  <c r="G45" i="6"/>
  <c r="H45" i="6"/>
  <c r="F46" i="6"/>
  <c r="G46" i="6"/>
  <c r="H46" i="6"/>
  <c r="F47" i="6"/>
  <c r="G47" i="6"/>
  <c r="H47" i="6"/>
  <c r="F48" i="6"/>
  <c r="G48" i="6"/>
  <c r="H48" i="6"/>
  <c r="F49" i="6"/>
  <c r="G49" i="6"/>
  <c r="H49" i="6"/>
  <c r="H41" i="6"/>
  <c r="G41" i="6"/>
  <c r="F41" i="6"/>
  <c r="H40" i="6"/>
  <c r="G40" i="6"/>
  <c r="F40" i="6"/>
  <c r="H39" i="6"/>
  <c r="G39" i="6"/>
  <c r="F39" i="6"/>
  <c r="H38" i="6"/>
  <c r="G38" i="6"/>
  <c r="F38" i="6"/>
  <c r="F24" i="6"/>
  <c r="G24" i="6"/>
  <c r="H24" i="6"/>
  <c r="F25" i="6"/>
  <c r="G25" i="6"/>
  <c r="H25" i="6"/>
  <c r="F26" i="6"/>
  <c r="G26" i="6"/>
  <c r="H26" i="6"/>
  <c r="H23" i="6"/>
  <c r="G23" i="6"/>
  <c r="F23" i="6"/>
  <c r="F33" i="6"/>
  <c r="G33" i="6"/>
  <c r="H33" i="6"/>
  <c r="F34" i="6"/>
  <c r="G34" i="6"/>
  <c r="H34" i="6"/>
  <c r="F35" i="6"/>
  <c r="G35" i="6"/>
  <c r="H35" i="6"/>
  <c r="F36" i="6"/>
  <c r="G36" i="6"/>
  <c r="H36" i="6"/>
  <c r="H32" i="6"/>
  <c r="G32" i="6"/>
  <c r="F32" i="6"/>
  <c r="H31" i="6"/>
  <c r="G31" i="6"/>
  <c r="F31" i="6"/>
  <c r="H30" i="6"/>
  <c r="G30" i="6"/>
  <c r="F30" i="6"/>
  <c r="H29" i="6"/>
  <c r="G29" i="6"/>
  <c r="F29" i="6"/>
  <c r="H28" i="6"/>
  <c r="G28" i="6"/>
  <c r="F28" i="6"/>
  <c r="F21" i="6"/>
  <c r="G21" i="6"/>
  <c r="H21" i="6"/>
  <c r="H20" i="6"/>
  <c r="G20" i="6"/>
  <c r="F20" i="6"/>
  <c r="H19" i="6"/>
  <c r="G19" i="6"/>
  <c r="F19" i="6"/>
  <c r="H18" i="6"/>
  <c r="G18" i="6"/>
  <c r="F18" i="6"/>
  <c r="H17" i="6"/>
  <c r="G17" i="6"/>
  <c r="F17" i="6"/>
  <c r="F13" i="6"/>
  <c r="G13" i="6"/>
  <c r="H13" i="6"/>
  <c r="F14" i="6"/>
  <c r="G14" i="6"/>
  <c r="H14" i="6"/>
  <c r="F15" i="6"/>
  <c r="G15" i="6"/>
  <c r="H15" i="6"/>
  <c r="H12" i="6"/>
  <c r="G12" i="6"/>
  <c r="F12" i="6"/>
  <c r="F8" i="6"/>
  <c r="G8" i="6"/>
  <c r="H8" i="6"/>
  <c r="F9" i="6"/>
  <c r="O9" i="6" s="1"/>
  <c r="G9" i="6"/>
  <c r="H9" i="6"/>
  <c r="F10" i="6"/>
  <c r="G10" i="6"/>
  <c r="O10" i="6" s="1"/>
  <c r="H10" i="6"/>
  <c r="H7" i="6"/>
  <c r="G7" i="6"/>
  <c r="F7" i="6"/>
  <c r="O13" i="6"/>
  <c r="O14" i="6"/>
  <c r="O15" i="6"/>
  <c r="O12" i="6"/>
  <c r="O8" i="6"/>
  <c r="L24" i="6"/>
  <c r="N27" i="6" l="1"/>
  <c r="O7" i="6"/>
  <c r="Q39" i="6"/>
  <c r="P40" i="6"/>
  <c r="Q40" i="6"/>
  <c r="P41" i="6"/>
  <c r="Q41" i="6"/>
  <c r="P42" i="6"/>
  <c r="Q42" i="6"/>
  <c r="P43" i="6"/>
  <c r="Q43" i="6"/>
  <c r="P44" i="6"/>
  <c r="Q44" i="6"/>
  <c r="Q45" i="6"/>
  <c r="P46" i="6"/>
  <c r="Q46" i="6"/>
  <c r="P47" i="6"/>
  <c r="Q47" i="6"/>
  <c r="P48" i="6"/>
  <c r="Q48" i="6"/>
  <c r="P49" i="6"/>
  <c r="Q49" i="6"/>
  <c r="P50" i="6"/>
  <c r="Q50" i="6"/>
  <c r="Q38" i="6"/>
  <c r="Q29" i="6"/>
  <c r="Q30" i="6"/>
  <c r="Q31" i="6"/>
  <c r="Q32" i="6"/>
  <c r="Q33" i="6"/>
  <c r="Q34" i="6"/>
  <c r="Q35" i="6"/>
  <c r="Q36" i="6"/>
  <c r="Q28" i="6"/>
  <c r="P24" i="6"/>
  <c r="Q24" i="6"/>
  <c r="Q25" i="6"/>
  <c r="Q26" i="6"/>
  <c r="Q23" i="6"/>
  <c r="Q18" i="6"/>
  <c r="Q19" i="6"/>
  <c r="Q20" i="6"/>
  <c r="Q21" i="6"/>
  <c r="Q17" i="6"/>
  <c r="Q13" i="6"/>
  <c r="Q14" i="6"/>
  <c r="Q15" i="6"/>
  <c r="Q12" i="6"/>
  <c r="Q8" i="6"/>
  <c r="Q9" i="6"/>
  <c r="Q10" i="6"/>
  <c r="Q7" i="6"/>
  <c r="B38" i="10" l="1"/>
  <c r="C38" i="10"/>
  <c r="F38" i="10"/>
  <c r="G38" i="10"/>
  <c r="H38" i="10"/>
  <c r="J38" i="10"/>
  <c r="K38" i="10"/>
  <c r="N38" i="10"/>
  <c r="O38" i="10"/>
  <c r="P38" i="10"/>
  <c r="Q38" i="10"/>
  <c r="S38" i="10"/>
  <c r="T38" i="10"/>
  <c r="X38" i="10"/>
  <c r="Y38" i="10"/>
  <c r="AB38" i="10"/>
  <c r="AC38" i="10"/>
  <c r="B39" i="10"/>
  <c r="C39" i="10"/>
  <c r="F39" i="10"/>
  <c r="G39" i="10"/>
  <c r="H39" i="10"/>
  <c r="J39" i="10"/>
  <c r="K39" i="10"/>
  <c r="N39" i="10"/>
  <c r="O39" i="10"/>
  <c r="P39" i="10"/>
  <c r="Q39" i="10"/>
  <c r="S39" i="10"/>
  <c r="T39" i="10"/>
  <c r="X39" i="10"/>
  <c r="Y39" i="10"/>
  <c r="AB39" i="10"/>
  <c r="AC39" i="10"/>
  <c r="B40" i="10"/>
  <c r="C40" i="10"/>
  <c r="F40" i="10"/>
  <c r="G40" i="10"/>
  <c r="H40" i="10"/>
  <c r="J40" i="10"/>
  <c r="K40" i="10"/>
  <c r="N40" i="10"/>
  <c r="O40" i="10"/>
  <c r="P40" i="10"/>
  <c r="Q40" i="10"/>
  <c r="S40" i="10"/>
  <c r="T40" i="10"/>
  <c r="X40" i="10"/>
  <c r="Y40" i="10"/>
  <c r="AB40" i="10"/>
  <c r="AC40" i="10"/>
  <c r="B41" i="10"/>
  <c r="C41" i="10"/>
  <c r="F41" i="10"/>
  <c r="G41" i="10"/>
  <c r="H41" i="10"/>
  <c r="J41" i="10"/>
  <c r="K41" i="10"/>
  <c r="N41" i="10"/>
  <c r="O41" i="10"/>
  <c r="P41" i="10"/>
  <c r="Q41" i="10"/>
  <c r="S41" i="10"/>
  <c r="T41" i="10"/>
  <c r="X41" i="10"/>
  <c r="Y41" i="10"/>
  <c r="AB41" i="10"/>
  <c r="AC41" i="10"/>
  <c r="B42" i="10"/>
  <c r="C42" i="10"/>
  <c r="F42" i="10"/>
  <c r="G42" i="10"/>
  <c r="H42" i="10"/>
  <c r="J42" i="10"/>
  <c r="K42" i="10"/>
  <c r="N42" i="10"/>
  <c r="O42" i="10"/>
  <c r="P42" i="10"/>
  <c r="Q42" i="10"/>
  <c r="S42" i="10"/>
  <c r="T42" i="10"/>
  <c r="X42" i="10"/>
  <c r="Y42" i="10"/>
  <c r="AB42" i="10"/>
  <c r="AC42" i="10"/>
  <c r="B43" i="10"/>
  <c r="C43" i="10"/>
  <c r="F43" i="10"/>
  <c r="G43" i="10"/>
  <c r="H43" i="10"/>
  <c r="J43" i="10"/>
  <c r="K43" i="10"/>
  <c r="N43" i="10"/>
  <c r="O43" i="10"/>
  <c r="P43" i="10"/>
  <c r="Q43" i="10"/>
  <c r="S43" i="10"/>
  <c r="T43" i="10"/>
  <c r="X43" i="10"/>
  <c r="Y43" i="10"/>
  <c r="AB43" i="10"/>
  <c r="AC43" i="10"/>
  <c r="B44" i="10"/>
  <c r="C44" i="10"/>
  <c r="F44" i="10"/>
  <c r="G44" i="10"/>
  <c r="H44" i="10"/>
  <c r="J44" i="10"/>
  <c r="K44" i="10"/>
  <c r="N44" i="10"/>
  <c r="O44" i="10"/>
  <c r="P44" i="10"/>
  <c r="Q44" i="10"/>
  <c r="S44" i="10"/>
  <c r="T44" i="10"/>
  <c r="X44" i="10"/>
  <c r="Y44" i="10"/>
  <c r="AB44" i="10"/>
  <c r="AC44" i="10"/>
  <c r="B45" i="10"/>
  <c r="C45" i="10"/>
  <c r="F45" i="10"/>
  <c r="G45" i="10"/>
  <c r="H45" i="10"/>
  <c r="J45" i="10"/>
  <c r="K45" i="10"/>
  <c r="N45" i="10"/>
  <c r="O45" i="10"/>
  <c r="P45" i="10"/>
  <c r="Q45" i="10"/>
  <c r="S45" i="10"/>
  <c r="T45" i="10"/>
  <c r="X45" i="10"/>
  <c r="Y45" i="10"/>
  <c r="AB45" i="10"/>
  <c r="AC45" i="10"/>
  <c r="B46" i="10"/>
  <c r="C46" i="10"/>
  <c r="F46" i="10"/>
  <c r="G46" i="10"/>
  <c r="H46" i="10"/>
  <c r="J46" i="10"/>
  <c r="K46" i="10"/>
  <c r="N46" i="10"/>
  <c r="O46" i="10"/>
  <c r="P46" i="10"/>
  <c r="Q46" i="10"/>
  <c r="S46" i="10"/>
  <c r="T46" i="10"/>
  <c r="X46" i="10"/>
  <c r="Y46" i="10"/>
  <c r="AB46" i="10"/>
  <c r="AC46" i="10"/>
  <c r="B47" i="10"/>
  <c r="C47" i="10"/>
  <c r="F47" i="10"/>
  <c r="G47" i="10"/>
  <c r="H47" i="10"/>
  <c r="J47" i="10"/>
  <c r="K47" i="10"/>
  <c r="N47" i="10"/>
  <c r="O47" i="10"/>
  <c r="P47" i="10"/>
  <c r="Q47" i="10"/>
  <c r="S47" i="10"/>
  <c r="T47" i="10"/>
  <c r="X47" i="10"/>
  <c r="Y47" i="10"/>
  <c r="AB47" i="10"/>
  <c r="AC47" i="10"/>
  <c r="B48" i="10"/>
  <c r="C48" i="10"/>
  <c r="F48" i="10"/>
  <c r="G48" i="10"/>
  <c r="H48" i="10"/>
  <c r="J48" i="10"/>
  <c r="K48" i="10"/>
  <c r="N48" i="10"/>
  <c r="O48" i="10"/>
  <c r="P48" i="10"/>
  <c r="Q48" i="10"/>
  <c r="S48" i="10"/>
  <c r="T48" i="10"/>
  <c r="X48" i="10"/>
  <c r="Y48" i="10"/>
  <c r="AB48" i="10"/>
  <c r="AC48" i="10"/>
  <c r="B49" i="10"/>
  <c r="C49" i="10"/>
  <c r="F49" i="10"/>
  <c r="G49" i="10"/>
  <c r="H49" i="10"/>
  <c r="J49" i="10"/>
  <c r="K49" i="10"/>
  <c r="N49" i="10"/>
  <c r="O49" i="10"/>
  <c r="P49" i="10"/>
  <c r="Q49" i="10"/>
  <c r="S49" i="10"/>
  <c r="T49" i="10"/>
  <c r="X49" i="10"/>
  <c r="Y49" i="10"/>
  <c r="AB49" i="10"/>
  <c r="AC49" i="10"/>
  <c r="AC37" i="10"/>
  <c r="AB37" i="10"/>
  <c r="Y37" i="10"/>
  <c r="X37" i="10"/>
  <c r="T37" i="10"/>
  <c r="S37" i="10"/>
  <c r="Q37" i="10"/>
  <c r="P37" i="10"/>
  <c r="P50" i="10" s="1"/>
  <c r="O37" i="10"/>
  <c r="N37" i="10"/>
  <c r="K37" i="10"/>
  <c r="J37" i="10"/>
  <c r="J50" i="10" s="1"/>
  <c r="H37" i="10"/>
  <c r="G37" i="10"/>
  <c r="F37" i="10"/>
  <c r="C37" i="10"/>
  <c r="C50" i="10" s="1"/>
  <c r="B28" i="10"/>
  <c r="C28" i="10"/>
  <c r="F28" i="10"/>
  <c r="G28" i="10"/>
  <c r="H28" i="10"/>
  <c r="J28" i="10"/>
  <c r="K28" i="10"/>
  <c r="N28" i="10"/>
  <c r="O28" i="10"/>
  <c r="P28" i="10"/>
  <c r="Q28" i="10"/>
  <c r="S28" i="10"/>
  <c r="T28" i="10"/>
  <c r="X28" i="10"/>
  <c r="Y28" i="10"/>
  <c r="AB28" i="10"/>
  <c r="AC28" i="10"/>
  <c r="B29" i="10"/>
  <c r="C29" i="10"/>
  <c r="F29" i="10"/>
  <c r="G29" i="10"/>
  <c r="J29" i="10"/>
  <c r="K29" i="10"/>
  <c r="N29" i="10"/>
  <c r="O29" i="10"/>
  <c r="P29" i="10"/>
  <c r="Q29" i="10"/>
  <c r="S29" i="10"/>
  <c r="T29" i="10"/>
  <c r="X29" i="10"/>
  <c r="Y29" i="10"/>
  <c r="AB29" i="10"/>
  <c r="AC29" i="10"/>
  <c r="B30" i="10"/>
  <c r="C30" i="10"/>
  <c r="F30" i="10"/>
  <c r="G30" i="10"/>
  <c r="H30" i="10"/>
  <c r="J30" i="10"/>
  <c r="K30" i="10"/>
  <c r="N30" i="10"/>
  <c r="O30" i="10"/>
  <c r="P30" i="10"/>
  <c r="Q30" i="10"/>
  <c r="S30" i="10"/>
  <c r="T30" i="10"/>
  <c r="X30" i="10"/>
  <c r="Y30" i="10"/>
  <c r="AB30" i="10"/>
  <c r="AC30" i="10"/>
  <c r="B31" i="10"/>
  <c r="C31" i="10"/>
  <c r="F31" i="10"/>
  <c r="G31" i="10"/>
  <c r="H31" i="10"/>
  <c r="J31" i="10"/>
  <c r="K31" i="10"/>
  <c r="N31" i="10"/>
  <c r="O31" i="10"/>
  <c r="P31" i="10"/>
  <c r="Q31" i="10"/>
  <c r="S31" i="10"/>
  <c r="T31" i="10"/>
  <c r="X31" i="10"/>
  <c r="Y31" i="10"/>
  <c r="AB31" i="10"/>
  <c r="AC31" i="10"/>
  <c r="B32" i="10"/>
  <c r="C32" i="10"/>
  <c r="F32" i="10"/>
  <c r="G32" i="10"/>
  <c r="H32" i="10"/>
  <c r="J32" i="10"/>
  <c r="K32" i="10"/>
  <c r="N32" i="10"/>
  <c r="O32" i="10"/>
  <c r="P32" i="10"/>
  <c r="Q32" i="10"/>
  <c r="S32" i="10"/>
  <c r="T32" i="10"/>
  <c r="X32" i="10"/>
  <c r="Y32" i="10"/>
  <c r="AB32" i="10"/>
  <c r="AC32" i="10"/>
  <c r="B33" i="10"/>
  <c r="C33" i="10"/>
  <c r="F33" i="10"/>
  <c r="G33" i="10"/>
  <c r="H33" i="10"/>
  <c r="J33" i="10"/>
  <c r="K33" i="10"/>
  <c r="N33" i="10"/>
  <c r="O33" i="10"/>
  <c r="P33" i="10"/>
  <c r="Q33" i="10"/>
  <c r="S33" i="10"/>
  <c r="T33" i="10"/>
  <c r="X33" i="10"/>
  <c r="Y33" i="10"/>
  <c r="AB33" i="10"/>
  <c r="AC33" i="10"/>
  <c r="C34" i="10"/>
  <c r="F34" i="10"/>
  <c r="G34" i="10"/>
  <c r="H34" i="10"/>
  <c r="J34" i="10"/>
  <c r="K34" i="10"/>
  <c r="N34" i="10"/>
  <c r="O34" i="10"/>
  <c r="P34" i="10"/>
  <c r="Q34" i="10"/>
  <c r="S34" i="10"/>
  <c r="T34" i="10"/>
  <c r="X34" i="10"/>
  <c r="Y34" i="10"/>
  <c r="AB34" i="10"/>
  <c r="AC34" i="10"/>
  <c r="B35" i="10"/>
  <c r="C35" i="10"/>
  <c r="F35" i="10"/>
  <c r="G35" i="10"/>
  <c r="H35" i="10"/>
  <c r="J35" i="10"/>
  <c r="K35" i="10"/>
  <c r="N35" i="10"/>
  <c r="O35" i="10"/>
  <c r="P35" i="10"/>
  <c r="Q35" i="10"/>
  <c r="S35" i="10"/>
  <c r="T35" i="10"/>
  <c r="X35" i="10"/>
  <c r="Y35" i="10"/>
  <c r="AB35" i="10"/>
  <c r="AC35" i="10"/>
  <c r="AC27" i="10"/>
  <c r="AB27" i="10"/>
  <c r="Y27" i="10"/>
  <c r="X27" i="10"/>
  <c r="T27" i="10"/>
  <c r="S27" i="10"/>
  <c r="Q27" i="10"/>
  <c r="P27" i="10"/>
  <c r="P36" i="10" s="1"/>
  <c r="O27" i="10"/>
  <c r="N27" i="10"/>
  <c r="K27" i="10"/>
  <c r="K36" i="10" s="1"/>
  <c r="J27" i="10"/>
  <c r="J36" i="10" s="1"/>
  <c r="H27" i="10"/>
  <c r="G27" i="10"/>
  <c r="F27" i="10"/>
  <c r="C27" i="10"/>
  <c r="B27" i="10"/>
  <c r="B23" i="10"/>
  <c r="C23" i="10"/>
  <c r="F23" i="10"/>
  <c r="G23" i="10"/>
  <c r="H23" i="10"/>
  <c r="J23" i="10"/>
  <c r="K23" i="10"/>
  <c r="N23" i="10"/>
  <c r="O23" i="10"/>
  <c r="P23" i="10"/>
  <c r="Q23" i="10"/>
  <c r="S23" i="10"/>
  <c r="T23" i="10"/>
  <c r="X23" i="10"/>
  <c r="Y23" i="10"/>
  <c r="AB23" i="10"/>
  <c r="AC23" i="10"/>
  <c r="B24" i="10"/>
  <c r="C24" i="10"/>
  <c r="F24" i="10"/>
  <c r="G24" i="10"/>
  <c r="H24" i="10"/>
  <c r="J24" i="10"/>
  <c r="K24" i="10"/>
  <c r="N24" i="10"/>
  <c r="O24" i="10"/>
  <c r="P24" i="10"/>
  <c r="Q24" i="10"/>
  <c r="S24" i="10"/>
  <c r="T24" i="10"/>
  <c r="X24" i="10"/>
  <c r="Y24" i="10"/>
  <c r="AB24" i="10"/>
  <c r="AC24" i="10"/>
  <c r="B25" i="10"/>
  <c r="C25" i="10"/>
  <c r="F25" i="10"/>
  <c r="G25" i="10"/>
  <c r="H25" i="10"/>
  <c r="J25" i="10"/>
  <c r="K25" i="10"/>
  <c r="N25" i="10"/>
  <c r="O25" i="10"/>
  <c r="P25" i="10"/>
  <c r="Q25" i="10"/>
  <c r="S25" i="10"/>
  <c r="T25" i="10"/>
  <c r="X25" i="10"/>
  <c r="Y25" i="10"/>
  <c r="AB25" i="10"/>
  <c r="AC25" i="10"/>
  <c r="AC22" i="10"/>
  <c r="AB22" i="10"/>
  <c r="Y22" i="10"/>
  <c r="X22" i="10"/>
  <c r="X26" i="10" s="1"/>
  <c r="T22" i="10"/>
  <c r="S22" i="10"/>
  <c r="Q22" i="10"/>
  <c r="P22" i="10"/>
  <c r="P26" i="10" s="1"/>
  <c r="O22" i="10"/>
  <c r="N22" i="10"/>
  <c r="K22" i="10"/>
  <c r="J22" i="10"/>
  <c r="H22" i="10"/>
  <c r="G22" i="10"/>
  <c r="F22" i="10"/>
  <c r="F26" i="10" s="1"/>
  <c r="C22" i="10"/>
  <c r="B22" i="10"/>
  <c r="C17" i="10"/>
  <c r="F17" i="10"/>
  <c r="G17" i="10"/>
  <c r="J17" i="10"/>
  <c r="K17" i="10"/>
  <c r="N17" i="10"/>
  <c r="O17" i="10"/>
  <c r="P17" i="10"/>
  <c r="Q17" i="10"/>
  <c r="S17" i="10"/>
  <c r="T17" i="10"/>
  <c r="X17" i="10"/>
  <c r="Y17" i="10"/>
  <c r="AB17" i="10"/>
  <c r="AC17" i="10"/>
  <c r="C18" i="10"/>
  <c r="F18" i="10"/>
  <c r="G18" i="10"/>
  <c r="H18" i="10"/>
  <c r="J18" i="10"/>
  <c r="K18" i="10"/>
  <c r="N18" i="10"/>
  <c r="O18" i="10"/>
  <c r="P18" i="10"/>
  <c r="Q18" i="10"/>
  <c r="S18" i="10"/>
  <c r="T18" i="10"/>
  <c r="X18" i="10"/>
  <c r="Y18" i="10"/>
  <c r="AB18" i="10"/>
  <c r="AC18" i="10"/>
  <c r="B19" i="10"/>
  <c r="C19" i="10"/>
  <c r="F19" i="10"/>
  <c r="G19" i="10"/>
  <c r="H19" i="10"/>
  <c r="J19" i="10"/>
  <c r="K19" i="10"/>
  <c r="N19" i="10"/>
  <c r="O19" i="10"/>
  <c r="P19" i="10"/>
  <c r="Q19" i="10"/>
  <c r="S19" i="10"/>
  <c r="T19" i="10"/>
  <c r="X19" i="10"/>
  <c r="Y19" i="10"/>
  <c r="AB19" i="10"/>
  <c r="AC19" i="10"/>
  <c r="C20" i="10"/>
  <c r="F20" i="10"/>
  <c r="G20" i="10"/>
  <c r="H20" i="10"/>
  <c r="J20" i="10"/>
  <c r="K20" i="10"/>
  <c r="N20" i="10"/>
  <c r="O20" i="10"/>
  <c r="P20" i="10"/>
  <c r="Q20" i="10"/>
  <c r="S20" i="10"/>
  <c r="T20" i="10"/>
  <c r="X20" i="10"/>
  <c r="Y20" i="10"/>
  <c r="AB20" i="10"/>
  <c r="AC20" i="10"/>
  <c r="AC16" i="10"/>
  <c r="AB16" i="10"/>
  <c r="Y16" i="10"/>
  <c r="X16" i="10"/>
  <c r="T16" i="10"/>
  <c r="S16" i="10"/>
  <c r="Q16" i="10"/>
  <c r="P16" i="10"/>
  <c r="O16" i="10"/>
  <c r="N16" i="10"/>
  <c r="K16" i="10"/>
  <c r="J16" i="10"/>
  <c r="G16" i="10"/>
  <c r="F16" i="10"/>
  <c r="C16" i="10"/>
  <c r="B16" i="10"/>
  <c r="B12" i="10"/>
  <c r="C12" i="10"/>
  <c r="F12" i="10"/>
  <c r="G12" i="10"/>
  <c r="H12" i="10"/>
  <c r="J12" i="10"/>
  <c r="K12" i="10"/>
  <c r="N12" i="10"/>
  <c r="O12" i="10"/>
  <c r="P12" i="10"/>
  <c r="Q12" i="10"/>
  <c r="S12" i="10"/>
  <c r="T12" i="10"/>
  <c r="X12" i="10"/>
  <c r="Y12" i="10"/>
  <c r="AB12" i="10"/>
  <c r="AC12" i="10"/>
  <c r="C13" i="10"/>
  <c r="F13" i="10"/>
  <c r="G13" i="10"/>
  <c r="H13" i="10"/>
  <c r="J13" i="10"/>
  <c r="K13" i="10"/>
  <c r="N13" i="10"/>
  <c r="O13" i="10"/>
  <c r="P13" i="10"/>
  <c r="Q13" i="10"/>
  <c r="S13" i="10"/>
  <c r="T13" i="10"/>
  <c r="X13" i="10"/>
  <c r="Y13" i="10"/>
  <c r="AB13" i="10"/>
  <c r="AC13" i="10"/>
  <c r="B14" i="10"/>
  <c r="C14" i="10"/>
  <c r="F14" i="10"/>
  <c r="G14" i="10"/>
  <c r="H14" i="10"/>
  <c r="J14" i="10"/>
  <c r="K14" i="10"/>
  <c r="N14" i="10"/>
  <c r="O14" i="10"/>
  <c r="P14" i="10"/>
  <c r="Q14" i="10"/>
  <c r="S14" i="10"/>
  <c r="T14" i="10"/>
  <c r="X14" i="10"/>
  <c r="Y14" i="10"/>
  <c r="AB14" i="10"/>
  <c r="AC14" i="10"/>
  <c r="AC11" i="10"/>
  <c r="AB11" i="10"/>
  <c r="Y11" i="10"/>
  <c r="X11" i="10"/>
  <c r="T11" i="10"/>
  <c r="S11" i="10"/>
  <c r="Q11" i="10"/>
  <c r="P11" i="10"/>
  <c r="O11" i="10"/>
  <c r="N11" i="10"/>
  <c r="N15" i="10" s="1"/>
  <c r="K11" i="10"/>
  <c r="J11" i="10"/>
  <c r="H11" i="10"/>
  <c r="G11" i="10"/>
  <c r="G15" i="10" s="1"/>
  <c r="F11" i="10"/>
  <c r="C11" i="10"/>
  <c r="B11" i="10"/>
  <c r="B7" i="10"/>
  <c r="C7" i="10"/>
  <c r="F7" i="10"/>
  <c r="G7" i="10"/>
  <c r="J7" i="10"/>
  <c r="K7" i="10"/>
  <c r="N7" i="10"/>
  <c r="O7" i="10"/>
  <c r="P7" i="10"/>
  <c r="Q7" i="10"/>
  <c r="S7" i="10"/>
  <c r="T7" i="10"/>
  <c r="X7" i="10"/>
  <c r="Y7" i="10"/>
  <c r="AB7" i="10"/>
  <c r="AC7" i="10"/>
  <c r="B8" i="10"/>
  <c r="C8" i="10"/>
  <c r="F8" i="10"/>
  <c r="G8" i="10"/>
  <c r="H8" i="10"/>
  <c r="J8" i="10"/>
  <c r="K8" i="10"/>
  <c r="N8" i="10"/>
  <c r="O8" i="10"/>
  <c r="P8" i="10"/>
  <c r="Q8" i="10"/>
  <c r="S8" i="10"/>
  <c r="T8" i="10"/>
  <c r="X8" i="10"/>
  <c r="Y8" i="10"/>
  <c r="AB8" i="10"/>
  <c r="AC8" i="10"/>
  <c r="B9" i="10"/>
  <c r="C9" i="10"/>
  <c r="F9" i="10"/>
  <c r="G9" i="10"/>
  <c r="H9" i="10"/>
  <c r="J9" i="10"/>
  <c r="K9" i="10"/>
  <c r="N9" i="10"/>
  <c r="O9" i="10"/>
  <c r="P9" i="10"/>
  <c r="Q9" i="10"/>
  <c r="S9" i="10"/>
  <c r="T9" i="10"/>
  <c r="X9" i="10"/>
  <c r="Y9" i="10"/>
  <c r="AB9" i="10"/>
  <c r="AC9" i="10"/>
  <c r="K15" i="10"/>
  <c r="C21" i="10"/>
  <c r="N21" i="10"/>
  <c r="G26" i="10"/>
  <c r="J26" i="10"/>
  <c r="F36" i="10"/>
  <c r="Y36" i="10"/>
  <c r="K50" i="10"/>
  <c r="S50" i="10"/>
  <c r="AC50" i="10"/>
  <c r="AC6" i="10"/>
  <c r="AB6" i="10"/>
  <c r="X6" i="10"/>
  <c r="X10" i="10" s="1"/>
  <c r="Y6" i="10"/>
  <c r="S6" i="10"/>
  <c r="T6" i="10"/>
  <c r="Q6" i="10"/>
  <c r="P6" i="10"/>
  <c r="P10" i="10" s="1"/>
  <c r="K6" i="10"/>
  <c r="J6" i="10"/>
  <c r="G6" i="10"/>
  <c r="H6" i="10"/>
  <c r="F6" i="10"/>
  <c r="C6" i="10"/>
  <c r="B6" i="10"/>
  <c r="O6" i="10"/>
  <c r="N6" i="10"/>
  <c r="T21" i="10" l="1"/>
  <c r="AB21" i="10"/>
  <c r="AB15" i="10"/>
  <c r="H15" i="10"/>
  <c r="N36" i="10"/>
  <c r="G50" i="10"/>
  <c r="O50" i="10"/>
  <c r="X15" i="10"/>
  <c r="N26" i="10"/>
  <c r="B26" i="10"/>
  <c r="N50" i="10"/>
  <c r="G10" i="10"/>
  <c r="J10" i="10"/>
  <c r="P15" i="10"/>
  <c r="Y15" i="10"/>
  <c r="P21" i="10"/>
  <c r="T15" i="10"/>
  <c r="T10" i="10"/>
  <c r="J15" i="10"/>
  <c r="J21" i="10"/>
  <c r="F10" i="10"/>
  <c r="K10" i="10"/>
  <c r="AC10" i="10"/>
  <c r="F15" i="10"/>
  <c r="F21" i="10"/>
  <c r="Q21" i="10"/>
  <c r="T36" i="10"/>
  <c r="T50" i="10"/>
  <c r="B10" i="10"/>
  <c r="C10" i="10"/>
  <c r="Y50" i="10"/>
  <c r="N10" i="10"/>
  <c r="O15" i="10"/>
  <c r="Q10" i="10"/>
  <c r="C15" i="10"/>
  <c r="AB10" i="10"/>
  <c r="O10" i="10"/>
  <c r="Y10" i="10"/>
  <c r="Q15" i="10"/>
  <c r="K21" i="10"/>
  <c r="G21" i="10"/>
  <c r="T26" i="10"/>
  <c r="G36" i="10"/>
  <c r="Q36" i="10"/>
  <c r="S21" i="10"/>
  <c r="O21" i="10"/>
  <c r="C26" i="10"/>
  <c r="S36" i="10"/>
  <c r="O36" i="10"/>
  <c r="K26" i="10"/>
  <c r="O26" i="10"/>
  <c r="C36" i="10"/>
  <c r="X50" i="10"/>
  <c r="H50" i="10"/>
  <c r="Q50" i="10"/>
  <c r="AB50" i="10"/>
  <c r="X36" i="10"/>
  <c r="AC36" i="10"/>
  <c r="AB36" i="10"/>
  <c r="AC26" i="10"/>
  <c r="S26" i="10"/>
  <c r="Y26" i="10"/>
  <c r="Q26" i="10"/>
  <c r="H26" i="10"/>
  <c r="AB26" i="10"/>
  <c r="X21" i="10"/>
  <c r="AC21" i="10"/>
  <c r="Y21" i="10"/>
  <c r="Y51" i="10" s="1"/>
  <c r="AC15" i="10"/>
  <c r="S15" i="10"/>
  <c r="K51" i="10"/>
  <c r="O51" i="10"/>
  <c r="N51" i="10"/>
  <c r="S10" i="10"/>
  <c r="P51" i="10"/>
  <c r="F50" i="10"/>
  <c r="J50" i="7"/>
  <c r="J36" i="7"/>
  <c r="J26" i="7"/>
  <c r="J21" i="7"/>
  <c r="J15" i="7"/>
  <c r="J10" i="7"/>
  <c r="J50" i="8"/>
  <c r="J36" i="8"/>
  <c r="J26" i="8"/>
  <c r="J21" i="8"/>
  <c r="J15" i="8"/>
  <c r="J10" i="8"/>
  <c r="J51" i="8" s="1"/>
  <c r="J50" i="3"/>
  <c r="J36" i="3"/>
  <c r="J26" i="3"/>
  <c r="J21" i="3"/>
  <c r="J15" i="3"/>
  <c r="J10" i="3"/>
  <c r="J51" i="3" s="1"/>
  <c r="J50" i="2"/>
  <c r="J36" i="2"/>
  <c r="J26" i="2"/>
  <c r="J21" i="2"/>
  <c r="J15" i="2"/>
  <c r="J10" i="2"/>
  <c r="J50" i="1"/>
  <c r="J36" i="1"/>
  <c r="J26" i="1"/>
  <c r="J21" i="1"/>
  <c r="J15" i="1"/>
  <c r="J10" i="1"/>
  <c r="C51" i="10" l="1"/>
  <c r="Q51" i="10"/>
  <c r="T51" i="10"/>
  <c r="J51" i="10"/>
  <c r="G51" i="10"/>
  <c r="J51" i="7"/>
  <c r="F51" i="10"/>
  <c r="J51" i="2"/>
  <c r="X51" i="10"/>
  <c r="AC51" i="10"/>
  <c r="AB51" i="10"/>
  <c r="S51" i="10"/>
  <c r="J51" i="1"/>
  <c r="AD50" i="7" l="1"/>
  <c r="AC50" i="7"/>
  <c r="AB50" i="7"/>
  <c r="Z50" i="7"/>
  <c r="Y50" i="7"/>
  <c r="X50" i="7"/>
  <c r="W50" i="7"/>
  <c r="U50" i="7"/>
  <c r="T50" i="7"/>
  <c r="S50" i="7"/>
  <c r="R50" i="7"/>
  <c r="Q50" i="7"/>
  <c r="P50" i="7"/>
  <c r="AE49" i="7"/>
  <c r="AA49" i="7"/>
  <c r="V49" i="7"/>
  <c r="AE48" i="7"/>
  <c r="AA48" i="7"/>
  <c r="V48" i="7"/>
  <c r="AE47" i="7"/>
  <c r="AA47" i="7"/>
  <c r="V47" i="7"/>
  <c r="AE46" i="7"/>
  <c r="AA46" i="7"/>
  <c r="V46" i="7"/>
  <c r="AE45" i="7"/>
  <c r="AA45" i="7"/>
  <c r="V45" i="7"/>
  <c r="AE44" i="7"/>
  <c r="AA44" i="7"/>
  <c r="V44" i="7"/>
  <c r="AE43" i="7"/>
  <c r="AA43" i="7"/>
  <c r="V43" i="7"/>
  <c r="AE42" i="7"/>
  <c r="AA42" i="7"/>
  <c r="V42" i="7"/>
  <c r="AE41" i="7"/>
  <c r="AA41" i="7"/>
  <c r="V41" i="7"/>
  <c r="AE40" i="7"/>
  <c r="AA40" i="7"/>
  <c r="V40" i="7"/>
  <c r="AE39" i="7"/>
  <c r="AA39" i="7"/>
  <c r="V39" i="7"/>
  <c r="AE38" i="7"/>
  <c r="AA38" i="7"/>
  <c r="V38" i="7"/>
  <c r="AE37" i="7"/>
  <c r="AE50" i="7" s="1"/>
  <c r="AA37" i="7"/>
  <c r="AA50" i="7" s="1"/>
  <c r="V37" i="7"/>
  <c r="AD36" i="7"/>
  <c r="AC36" i="7"/>
  <c r="AB36" i="7"/>
  <c r="Z36" i="7"/>
  <c r="Y36" i="7"/>
  <c r="X36" i="7"/>
  <c r="W36" i="7"/>
  <c r="U36" i="7"/>
  <c r="T36" i="7"/>
  <c r="S36" i="7"/>
  <c r="R36" i="7"/>
  <c r="Q36" i="7"/>
  <c r="P36" i="7"/>
  <c r="AE35" i="7"/>
  <c r="AA35" i="7"/>
  <c r="V35" i="7"/>
  <c r="AE34" i="7"/>
  <c r="AA34" i="7"/>
  <c r="V34" i="7"/>
  <c r="AE33" i="7"/>
  <c r="AA33" i="7"/>
  <c r="V33" i="7"/>
  <c r="AE32" i="7"/>
  <c r="AA32" i="7"/>
  <c r="V32" i="7"/>
  <c r="AE31" i="7"/>
  <c r="AA31" i="7"/>
  <c r="V31" i="7"/>
  <c r="AE30" i="7"/>
  <c r="AA30" i="7"/>
  <c r="V30" i="7"/>
  <c r="AE29" i="7"/>
  <c r="AA29" i="7"/>
  <c r="V29" i="7"/>
  <c r="AE28" i="7"/>
  <c r="AA28" i="7"/>
  <c r="V28" i="7"/>
  <c r="AE27" i="7"/>
  <c r="AE36" i="7" s="1"/>
  <c r="AA27" i="7"/>
  <c r="V27" i="7"/>
  <c r="V36" i="7" s="1"/>
  <c r="AD26" i="7"/>
  <c r="AC26" i="7"/>
  <c r="AB26" i="7"/>
  <c r="Z26" i="7"/>
  <c r="Y26" i="7"/>
  <c r="X26" i="7"/>
  <c r="W26" i="7"/>
  <c r="U26" i="7"/>
  <c r="T26" i="7"/>
  <c r="S26" i="7"/>
  <c r="R26" i="7"/>
  <c r="Q26" i="7"/>
  <c r="P26" i="7"/>
  <c r="AE25" i="7"/>
  <c r="AA25" i="7"/>
  <c r="V25" i="7"/>
  <c r="AE24" i="7"/>
  <c r="AA24" i="7"/>
  <c r="V24" i="7"/>
  <c r="AE23" i="7"/>
  <c r="AA23" i="7"/>
  <c r="V23" i="7"/>
  <c r="AE22" i="7"/>
  <c r="AE26" i="7" s="1"/>
  <c r="AA22" i="7"/>
  <c r="AA26" i="7" s="1"/>
  <c r="V22" i="7"/>
  <c r="AD21" i="7"/>
  <c r="AC21" i="7"/>
  <c r="AB21" i="7"/>
  <c r="Z21" i="7"/>
  <c r="Y21" i="7"/>
  <c r="X21" i="7"/>
  <c r="W21" i="7"/>
  <c r="U21" i="7"/>
  <c r="T21" i="7"/>
  <c r="S21" i="7"/>
  <c r="R21" i="7"/>
  <c r="Q21" i="7"/>
  <c r="P21" i="7"/>
  <c r="AE20" i="7"/>
  <c r="AA20" i="7"/>
  <c r="V20" i="7"/>
  <c r="AE19" i="7"/>
  <c r="AA19" i="7"/>
  <c r="V19" i="7"/>
  <c r="V21" i="7" s="1"/>
  <c r="AE18" i="7"/>
  <c r="AA18" i="7"/>
  <c r="V18" i="7"/>
  <c r="AE17" i="7"/>
  <c r="AA17" i="7"/>
  <c r="V17" i="7"/>
  <c r="AE16" i="7"/>
  <c r="AA16" i="7"/>
  <c r="AA21" i="7" s="1"/>
  <c r="V16" i="7"/>
  <c r="AD15" i="7"/>
  <c r="AC15" i="7"/>
  <c r="AB15" i="7"/>
  <c r="Z15" i="7"/>
  <c r="Y15" i="7"/>
  <c r="X15" i="7"/>
  <c r="W15" i="7"/>
  <c r="U15" i="7"/>
  <c r="T15" i="7"/>
  <c r="S15" i="7"/>
  <c r="R15" i="7"/>
  <c r="Q15" i="7"/>
  <c r="P15" i="7"/>
  <c r="AE14" i="7"/>
  <c r="AA14" i="7"/>
  <c r="V14" i="7"/>
  <c r="AE13" i="7"/>
  <c r="AA13" i="7"/>
  <c r="V13" i="7"/>
  <c r="AE12" i="7"/>
  <c r="AA12" i="7"/>
  <c r="V12" i="7"/>
  <c r="AE11" i="7"/>
  <c r="AE15" i="7" s="1"/>
  <c r="AA11" i="7"/>
  <c r="V11" i="7"/>
  <c r="AD10" i="7"/>
  <c r="AD51" i="7" s="1"/>
  <c r="AC10" i="7"/>
  <c r="AC51" i="7" s="1"/>
  <c r="AB10" i="7"/>
  <c r="Z10" i="7"/>
  <c r="Z51" i="7" s="1"/>
  <c r="Y10" i="7"/>
  <c r="Y51" i="7" s="1"/>
  <c r="X10" i="7"/>
  <c r="W10" i="7"/>
  <c r="U10" i="7"/>
  <c r="U51" i="7" s="1"/>
  <c r="T10" i="7"/>
  <c r="S10" i="7"/>
  <c r="S51" i="7" s="1"/>
  <c r="R10" i="7"/>
  <c r="Q10" i="7"/>
  <c r="Q51" i="7" s="1"/>
  <c r="P10" i="7"/>
  <c r="AE9" i="7"/>
  <c r="AA9" i="7"/>
  <c r="V9" i="7"/>
  <c r="AE8" i="7"/>
  <c r="AA8" i="7"/>
  <c r="V8" i="7"/>
  <c r="AE7" i="7"/>
  <c r="AA7" i="7"/>
  <c r="V7" i="7"/>
  <c r="AE6" i="7"/>
  <c r="AA6" i="7"/>
  <c r="V6" i="7"/>
  <c r="AD50" i="8"/>
  <c r="AC50" i="8"/>
  <c r="AB50" i="8"/>
  <c r="Z50" i="8"/>
  <c r="Y50" i="8"/>
  <c r="X50" i="8"/>
  <c r="W50" i="8"/>
  <c r="U50" i="8"/>
  <c r="T50" i="8"/>
  <c r="S50" i="8"/>
  <c r="R50" i="8"/>
  <c r="Q50" i="8"/>
  <c r="P50" i="8"/>
  <c r="AE49" i="8"/>
  <c r="AA49" i="8"/>
  <c r="V49" i="8"/>
  <c r="AE48" i="8"/>
  <c r="AA48" i="8"/>
  <c r="V48" i="8"/>
  <c r="AE47" i="8"/>
  <c r="AA47" i="8"/>
  <c r="V47" i="8"/>
  <c r="AE46" i="8"/>
  <c r="AA46" i="8"/>
  <c r="V46" i="8"/>
  <c r="AE45" i="8"/>
  <c r="AA45" i="8"/>
  <c r="V45" i="8"/>
  <c r="AE44" i="8"/>
  <c r="AA44" i="8"/>
  <c r="V44" i="8"/>
  <c r="AE43" i="8"/>
  <c r="AA43" i="8"/>
  <c r="V43" i="8"/>
  <c r="AE42" i="8"/>
  <c r="AA42" i="8"/>
  <c r="V42" i="8"/>
  <c r="AE41" i="8"/>
  <c r="AA41" i="8"/>
  <c r="V41" i="8"/>
  <c r="AE40" i="8"/>
  <c r="AA40" i="8"/>
  <c r="V40" i="8"/>
  <c r="AE39" i="8"/>
  <c r="AA39" i="8"/>
  <c r="V39" i="8"/>
  <c r="AE38" i="8"/>
  <c r="AA38" i="8"/>
  <c r="V38" i="8"/>
  <c r="AE37" i="8"/>
  <c r="AE50" i="8" s="1"/>
  <c r="AA37" i="8"/>
  <c r="AA50" i="8" s="1"/>
  <c r="V37" i="8"/>
  <c r="AD36" i="8"/>
  <c r="AC36" i="8"/>
  <c r="AB36" i="8"/>
  <c r="Z36" i="8"/>
  <c r="Y36" i="8"/>
  <c r="X36" i="8"/>
  <c r="W36" i="8"/>
  <c r="U36" i="8"/>
  <c r="T36" i="8"/>
  <c r="S36" i="8"/>
  <c r="R36" i="8"/>
  <c r="Q36" i="8"/>
  <c r="P36" i="8"/>
  <c r="AE35" i="8"/>
  <c r="AA35" i="8"/>
  <c r="V35" i="8"/>
  <c r="AE34" i="8"/>
  <c r="AA34" i="8"/>
  <c r="V34" i="8"/>
  <c r="AE33" i="8"/>
  <c r="AA33" i="8"/>
  <c r="V33" i="8"/>
  <c r="AE32" i="8"/>
  <c r="AA32" i="8"/>
  <c r="V32" i="8"/>
  <c r="AE31" i="8"/>
  <c r="AA31" i="8"/>
  <c r="V31" i="8"/>
  <c r="AE30" i="8"/>
  <c r="AA30" i="8"/>
  <c r="V30" i="8"/>
  <c r="AE29" i="8"/>
  <c r="AA29" i="8"/>
  <c r="V29" i="8"/>
  <c r="AE28" i="8"/>
  <c r="AA28" i="8"/>
  <c r="V28" i="8"/>
  <c r="AE27" i="8"/>
  <c r="AE36" i="8" s="1"/>
  <c r="AA27" i="8"/>
  <c r="V27" i="8"/>
  <c r="AD26" i="8"/>
  <c r="AC26" i="8"/>
  <c r="AB26" i="8"/>
  <c r="Z26" i="8"/>
  <c r="Y26" i="8"/>
  <c r="X26" i="8"/>
  <c r="W26" i="8"/>
  <c r="U26" i="8"/>
  <c r="T26" i="8"/>
  <c r="S26" i="8"/>
  <c r="R26" i="8"/>
  <c r="Q26" i="8"/>
  <c r="P26" i="8"/>
  <c r="AE25" i="8"/>
  <c r="AA25" i="8"/>
  <c r="V25" i="8"/>
  <c r="AE24" i="8"/>
  <c r="AA24" i="8"/>
  <c r="V24" i="8"/>
  <c r="AE23" i="8"/>
  <c r="AA23" i="8"/>
  <c r="V23" i="8"/>
  <c r="AE22" i="8"/>
  <c r="AE26" i="8" s="1"/>
  <c r="AA22" i="8"/>
  <c r="V22" i="8"/>
  <c r="AD21" i="8"/>
  <c r="AC21" i="8"/>
  <c r="AB21" i="8"/>
  <c r="Z21" i="8"/>
  <c r="Y21" i="8"/>
  <c r="X21" i="8"/>
  <c r="W21" i="8"/>
  <c r="U21" i="8"/>
  <c r="T21" i="8"/>
  <c r="S21" i="8"/>
  <c r="R21" i="8"/>
  <c r="Q21" i="8"/>
  <c r="P21" i="8"/>
  <c r="AE20" i="8"/>
  <c r="AA20" i="8"/>
  <c r="V20" i="8"/>
  <c r="AE19" i="8"/>
  <c r="AA19" i="8"/>
  <c r="V19" i="8"/>
  <c r="AE18" i="8"/>
  <c r="AA18" i="8"/>
  <c r="V18" i="8"/>
  <c r="AE17" i="8"/>
  <c r="AA17" i="8"/>
  <c r="V17" i="8"/>
  <c r="AE16" i="8"/>
  <c r="AE21" i="8" s="1"/>
  <c r="AA16" i="8"/>
  <c r="AA21" i="8" s="1"/>
  <c r="V16" i="8"/>
  <c r="AD15" i="8"/>
  <c r="AC15" i="8"/>
  <c r="AB15" i="8"/>
  <c r="Z15" i="8"/>
  <c r="Y15" i="8"/>
  <c r="X15" i="8"/>
  <c r="W15" i="8"/>
  <c r="U15" i="8"/>
  <c r="T15" i="8"/>
  <c r="S15" i="8"/>
  <c r="R15" i="8"/>
  <c r="Q15" i="8"/>
  <c r="P15" i="8"/>
  <c r="AE14" i="8"/>
  <c r="AA14" i="8"/>
  <c r="V14" i="8"/>
  <c r="AE13" i="8"/>
  <c r="AA13" i="8"/>
  <c r="V13" i="8"/>
  <c r="AE12" i="8"/>
  <c r="AA12" i="8"/>
  <c r="V12" i="8"/>
  <c r="AE11" i="8"/>
  <c r="AE15" i="8" s="1"/>
  <c r="AA11" i="8"/>
  <c r="V11" i="8"/>
  <c r="AD10" i="8"/>
  <c r="AD51" i="8" s="1"/>
  <c r="AC10" i="8"/>
  <c r="AC51" i="8" s="1"/>
  <c r="AB10" i="8"/>
  <c r="Z10" i="8"/>
  <c r="Z51" i="8" s="1"/>
  <c r="Y10" i="8"/>
  <c r="Y51" i="8" s="1"/>
  <c r="X10" i="8"/>
  <c r="W10" i="8"/>
  <c r="W51" i="8" s="1"/>
  <c r="U10" i="8"/>
  <c r="U51" i="8" s="1"/>
  <c r="T10" i="8"/>
  <c r="S10" i="8"/>
  <c r="R10" i="8"/>
  <c r="R51" i="8" s="1"/>
  <c r="Q10" i="8"/>
  <c r="Q51" i="8" s="1"/>
  <c r="P10" i="8"/>
  <c r="AE9" i="8"/>
  <c r="AA9" i="8"/>
  <c r="V9" i="8"/>
  <c r="AE8" i="8"/>
  <c r="AA8" i="8"/>
  <c r="V8" i="8"/>
  <c r="AE7" i="8"/>
  <c r="AA7" i="8"/>
  <c r="V7" i="8"/>
  <c r="AE6" i="8"/>
  <c r="AE10" i="8" s="1"/>
  <c r="AA6" i="8"/>
  <c r="V6" i="8"/>
  <c r="AD50" i="3"/>
  <c r="AC50" i="3"/>
  <c r="AB50" i="3"/>
  <c r="Z50" i="3"/>
  <c r="Y50" i="3"/>
  <c r="X50" i="3"/>
  <c r="W50" i="3"/>
  <c r="U50" i="3"/>
  <c r="T50" i="3"/>
  <c r="S50" i="3"/>
  <c r="R50" i="3"/>
  <c r="Q50" i="3"/>
  <c r="P50" i="3"/>
  <c r="AE49" i="3"/>
  <c r="AA49" i="3"/>
  <c r="V49" i="3"/>
  <c r="AE48" i="3"/>
  <c r="AA48" i="3"/>
  <c r="V48" i="3"/>
  <c r="AE47" i="3"/>
  <c r="AA47" i="3"/>
  <c r="V47" i="3"/>
  <c r="AE46" i="3"/>
  <c r="AA46" i="3"/>
  <c r="V46" i="3"/>
  <c r="AE45" i="3"/>
  <c r="AA45" i="3"/>
  <c r="V45" i="3"/>
  <c r="AE44" i="3"/>
  <c r="AA44" i="3"/>
  <c r="V44" i="3"/>
  <c r="AE43" i="3"/>
  <c r="AA43" i="3"/>
  <c r="V43" i="3"/>
  <c r="AE42" i="3"/>
  <c r="AA42" i="3"/>
  <c r="V42" i="3"/>
  <c r="AE41" i="3"/>
  <c r="AA41" i="3"/>
  <c r="V41" i="3"/>
  <c r="AE40" i="3"/>
  <c r="AA40" i="3"/>
  <c r="V40" i="3"/>
  <c r="AE39" i="3"/>
  <c r="AA39" i="3"/>
  <c r="V39" i="3"/>
  <c r="V50" i="3" s="1"/>
  <c r="AE38" i="3"/>
  <c r="AA38" i="3"/>
  <c r="V38" i="3"/>
  <c r="AE37" i="3"/>
  <c r="AE50" i="3" s="1"/>
  <c r="AA37" i="3"/>
  <c r="AA50" i="3" s="1"/>
  <c r="V37" i="3"/>
  <c r="AD36" i="3"/>
  <c r="AC36" i="3"/>
  <c r="AB36" i="3"/>
  <c r="Z36" i="3"/>
  <c r="Y36" i="3"/>
  <c r="X36" i="3"/>
  <c r="W36" i="3"/>
  <c r="U36" i="3"/>
  <c r="T36" i="3"/>
  <c r="S36" i="3"/>
  <c r="R36" i="3"/>
  <c r="Q36" i="3"/>
  <c r="P36" i="3"/>
  <c r="AE35" i="3"/>
  <c r="AA35" i="3"/>
  <c r="V35" i="3"/>
  <c r="AE34" i="3"/>
  <c r="AA34" i="3"/>
  <c r="V34" i="3"/>
  <c r="AE33" i="3"/>
  <c r="AA33" i="3"/>
  <c r="V33" i="3"/>
  <c r="AE32" i="3"/>
  <c r="AA32" i="3"/>
  <c r="V32" i="3"/>
  <c r="AE31" i="3"/>
  <c r="AA31" i="3"/>
  <c r="V31" i="3"/>
  <c r="AE30" i="3"/>
  <c r="AA30" i="3"/>
  <c r="V30" i="3"/>
  <c r="AE29" i="3"/>
  <c r="AA29" i="3"/>
  <c r="V29" i="3"/>
  <c r="AE28" i="3"/>
  <c r="AA28" i="3"/>
  <c r="V28" i="3"/>
  <c r="AE27" i="3"/>
  <c r="AE36" i="3" s="1"/>
  <c r="AA27" i="3"/>
  <c r="AA36" i="3" s="1"/>
  <c r="V27" i="3"/>
  <c r="AD26" i="3"/>
  <c r="AC26" i="3"/>
  <c r="AB26" i="3"/>
  <c r="Z26" i="3"/>
  <c r="Y26" i="3"/>
  <c r="X26" i="3"/>
  <c r="W26" i="3"/>
  <c r="U26" i="3"/>
  <c r="T26" i="3"/>
  <c r="S26" i="3"/>
  <c r="R26" i="3"/>
  <c r="Q26" i="3"/>
  <c r="P26" i="3"/>
  <c r="AE25" i="3"/>
  <c r="AA25" i="3"/>
  <c r="V25" i="3"/>
  <c r="AE24" i="3"/>
  <c r="AA24" i="3"/>
  <c r="V24" i="3"/>
  <c r="AE23" i="3"/>
  <c r="AA23" i="3"/>
  <c r="V23" i="3"/>
  <c r="AE22" i="3"/>
  <c r="AE26" i="3" s="1"/>
  <c r="AA22" i="3"/>
  <c r="AA26" i="3" s="1"/>
  <c r="V22" i="3"/>
  <c r="AD21" i="3"/>
  <c r="AC21" i="3"/>
  <c r="AB21" i="3"/>
  <c r="Z21" i="3"/>
  <c r="Y21" i="3"/>
  <c r="X21" i="3"/>
  <c r="W21" i="3"/>
  <c r="U21" i="3"/>
  <c r="T21" i="3"/>
  <c r="S21" i="3"/>
  <c r="R21" i="3"/>
  <c r="Q21" i="3"/>
  <c r="P21" i="3"/>
  <c r="AE20" i="3"/>
  <c r="AA20" i="3"/>
  <c r="V20" i="3"/>
  <c r="AE19" i="3"/>
  <c r="AA19" i="3"/>
  <c r="V19" i="3"/>
  <c r="AE18" i="3"/>
  <c r="AA18" i="3"/>
  <c r="V18" i="3"/>
  <c r="AE17" i="3"/>
  <c r="AA17" i="3"/>
  <c r="V17" i="3"/>
  <c r="AE16" i="3"/>
  <c r="AE21" i="3" s="1"/>
  <c r="AA16" i="3"/>
  <c r="AA21" i="3" s="1"/>
  <c r="V16" i="3"/>
  <c r="AD15" i="3"/>
  <c r="AC15" i="3"/>
  <c r="AB15" i="3"/>
  <c r="Z15" i="3"/>
  <c r="Y15" i="3"/>
  <c r="X15" i="3"/>
  <c r="W15" i="3"/>
  <c r="U15" i="3"/>
  <c r="T15" i="3"/>
  <c r="S15" i="3"/>
  <c r="R15" i="3"/>
  <c r="Q15" i="3"/>
  <c r="P15" i="3"/>
  <c r="AE14" i="3"/>
  <c r="AA14" i="3"/>
  <c r="V14" i="3"/>
  <c r="AE13" i="3"/>
  <c r="AA13" i="3"/>
  <c r="AA15" i="3" s="1"/>
  <c r="V13" i="3"/>
  <c r="AE12" i="3"/>
  <c r="AA12" i="3"/>
  <c r="V12" i="3"/>
  <c r="AE11" i="3"/>
  <c r="AA11" i="3"/>
  <c r="V11" i="3"/>
  <c r="AD10" i="3"/>
  <c r="AC10" i="3"/>
  <c r="AC51" i="3" s="1"/>
  <c r="AB10" i="3"/>
  <c r="AB51" i="3" s="1"/>
  <c r="Z10" i="3"/>
  <c r="Y10" i="3"/>
  <c r="Y51" i="3" s="1"/>
  <c r="X10" i="3"/>
  <c r="X51" i="3" s="1"/>
  <c r="W10" i="3"/>
  <c r="W51" i="3" s="1"/>
  <c r="U10" i="3"/>
  <c r="U51" i="3" s="1"/>
  <c r="T10" i="3"/>
  <c r="T51" i="3" s="1"/>
  <c r="S10" i="3"/>
  <c r="R10" i="3"/>
  <c r="Q10" i="3"/>
  <c r="Q51" i="3" s="1"/>
  <c r="P10" i="3"/>
  <c r="P51" i="3" s="1"/>
  <c r="AE9" i="3"/>
  <c r="AA9" i="3"/>
  <c r="V9" i="3"/>
  <c r="AE8" i="3"/>
  <c r="AA8" i="3"/>
  <c r="V8" i="3"/>
  <c r="AE7" i="3"/>
  <c r="AA7" i="3"/>
  <c r="V7" i="3"/>
  <c r="AE6" i="3"/>
  <c r="AA6" i="3"/>
  <c r="V6" i="3"/>
  <c r="AD50" i="2"/>
  <c r="AC50" i="2"/>
  <c r="AB50" i="2"/>
  <c r="Z50" i="2"/>
  <c r="Y50" i="2"/>
  <c r="X50" i="2"/>
  <c r="W50" i="2"/>
  <c r="U50" i="2"/>
  <c r="T50" i="2"/>
  <c r="S50" i="2"/>
  <c r="R50" i="2"/>
  <c r="Q50" i="2"/>
  <c r="P50" i="2"/>
  <c r="AE49" i="2"/>
  <c r="AA49" i="2"/>
  <c r="V49" i="2"/>
  <c r="AE48" i="2"/>
  <c r="AA48" i="2"/>
  <c r="V48" i="2"/>
  <c r="AE47" i="2"/>
  <c r="AA47" i="2"/>
  <c r="V47" i="2"/>
  <c r="AE46" i="2"/>
  <c r="AA46" i="2"/>
  <c r="V46" i="2"/>
  <c r="AE45" i="2"/>
  <c r="AA45" i="2"/>
  <c r="V45" i="2"/>
  <c r="AE44" i="2"/>
  <c r="AA44" i="2"/>
  <c r="V44" i="2"/>
  <c r="AE43" i="2"/>
  <c r="AA43" i="2"/>
  <c r="V43" i="2"/>
  <c r="AE42" i="2"/>
  <c r="AA42" i="2"/>
  <c r="V42" i="2"/>
  <c r="AE41" i="2"/>
  <c r="AA41" i="2"/>
  <c r="V41" i="2"/>
  <c r="AE40" i="2"/>
  <c r="AA40" i="2"/>
  <c r="V40" i="2"/>
  <c r="AE39" i="2"/>
  <c r="AA39" i="2"/>
  <c r="V39" i="2"/>
  <c r="AE38" i="2"/>
  <c r="AA38" i="2"/>
  <c r="V38" i="2"/>
  <c r="AE37" i="2"/>
  <c r="AE50" i="2" s="1"/>
  <c r="AA37" i="2"/>
  <c r="AA50" i="2" s="1"/>
  <c r="V37" i="2"/>
  <c r="AD36" i="2"/>
  <c r="AC36" i="2"/>
  <c r="AB36" i="2"/>
  <c r="Z36" i="2"/>
  <c r="Y36" i="2"/>
  <c r="X36" i="2"/>
  <c r="W36" i="2"/>
  <c r="U36" i="2"/>
  <c r="T36" i="2"/>
  <c r="S36" i="2"/>
  <c r="R36" i="2"/>
  <c r="Q36" i="2"/>
  <c r="P36" i="2"/>
  <c r="AE35" i="2"/>
  <c r="AA35" i="2"/>
  <c r="V35" i="2"/>
  <c r="AE34" i="2"/>
  <c r="AA34" i="2"/>
  <c r="V34" i="2"/>
  <c r="AE33" i="2"/>
  <c r="AA33" i="2"/>
  <c r="V33" i="2"/>
  <c r="AE32" i="2"/>
  <c r="AA32" i="2"/>
  <c r="V32" i="2"/>
  <c r="AE31" i="2"/>
  <c r="AA31" i="2"/>
  <c r="V31" i="2"/>
  <c r="AE30" i="2"/>
  <c r="AA30" i="2"/>
  <c r="V30" i="2"/>
  <c r="AE29" i="2"/>
  <c r="AA29" i="2"/>
  <c r="V29" i="2"/>
  <c r="AE28" i="2"/>
  <c r="AA28" i="2"/>
  <c r="V28" i="2"/>
  <c r="AE27" i="2"/>
  <c r="AA27" i="2"/>
  <c r="AA36" i="2" s="1"/>
  <c r="V27" i="2"/>
  <c r="AD26" i="2"/>
  <c r="AC26" i="2"/>
  <c r="AB26" i="2"/>
  <c r="Z26" i="2"/>
  <c r="Y26" i="2"/>
  <c r="X26" i="2"/>
  <c r="W26" i="2"/>
  <c r="U26" i="2"/>
  <c r="T26" i="2"/>
  <c r="S26" i="2"/>
  <c r="R26" i="2"/>
  <c r="Q26" i="2"/>
  <c r="P26" i="2"/>
  <c r="AE25" i="2"/>
  <c r="AA25" i="2"/>
  <c r="V25" i="2"/>
  <c r="AE24" i="2"/>
  <c r="AA24" i="2"/>
  <c r="V24" i="2"/>
  <c r="AE23" i="2"/>
  <c r="AA23" i="2"/>
  <c r="V23" i="2"/>
  <c r="AE22" i="2"/>
  <c r="AA22" i="2"/>
  <c r="V22" i="2"/>
  <c r="AD21" i="2"/>
  <c r="AC21" i="2"/>
  <c r="AB21" i="2"/>
  <c r="Z21" i="2"/>
  <c r="Y21" i="2"/>
  <c r="X21" i="2"/>
  <c r="W21" i="2"/>
  <c r="U21" i="2"/>
  <c r="T21" i="2"/>
  <c r="S21" i="2"/>
  <c r="R21" i="2"/>
  <c r="Q21" i="2"/>
  <c r="P21" i="2"/>
  <c r="AE20" i="2"/>
  <c r="AA20" i="2"/>
  <c r="V20" i="2"/>
  <c r="AE19" i="2"/>
  <c r="AA19" i="2"/>
  <c r="V19" i="2"/>
  <c r="AE18" i="2"/>
  <c r="AA18" i="2"/>
  <c r="V18" i="2"/>
  <c r="AE17" i="2"/>
  <c r="AA17" i="2"/>
  <c r="V17" i="2"/>
  <c r="AE16" i="2"/>
  <c r="AE21" i="2" s="1"/>
  <c r="AA16" i="2"/>
  <c r="V16" i="2"/>
  <c r="AD15" i="2"/>
  <c r="AC15" i="2"/>
  <c r="AB15" i="2"/>
  <c r="Z15" i="2"/>
  <c r="Y15" i="2"/>
  <c r="X15" i="2"/>
  <c r="W15" i="2"/>
  <c r="U15" i="2"/>
  <c r="T15" i="2"/>
  <c r="S15" i="2"/>
  <c r="R15" i="2"/>
  <c r="Q15" i="2"/>
  <c r="P15" i="2"/>
  <c r="AE14" i="2"/>
  <c r="AE15" i="2" s="1"/>
  <c r="AA14" i="2"/>
  <c r="V14" i="2"/>
  <c r="AE13" i="2"/>
  <c r="AA13" i="2"/>
  <c r="AA15" i="2" s="1"/>
  <c r="V13" i="2"/>
  <c r="AE12" i="2"/>
  <c r="AA12" i="2"/>
  <c r="V12" i="2"/>
  <c r="AE11" i="2"/>
  <c r="AA11" i="2"/>
  <c r="V11" i="2"/>
  <c r="AD10" i="2"/>
  <c r="AD51" i="2" s="1"/>
  <c r="AC10" i="2"/>
  <c r="AC51" i="2" s="1"/>
  <c r="AB10" i="2"/>
  <c r="AB51" i="2" s="1"/>
  <c r="Z10" i="2"/>
  <c r="Z51" i="2" s="1"/>
  <c r="Y10" i="2"/>
  <c r="Y51" i="2" s="1"/>
  <c r="X10" i="2"/>
  <c r="X51" i="2" s="1"/>
  <c r="W10" i="2"/>
  <c r="W51" i="2" s="1"/>
  <c r="U10" i="2"/>
  <c r="T10" i="2"/>
  <c r="T51" i="2" s="1"/>
  <c r="S10" i="2"/>
  <c r="S51" i="2" s="1"/>
  <c r="R10" i="2"/>
  <c r="Q10" i="2"/>
  <c r="P10" i="2"/>
  <c r="P51" i="2" s="1"/>
  <c r="AE9" i="2"/>
  <c r="AA9" i="2"/>
  <c r="V9" i="2"/>
  <c r="AE8" i="2"/>
  <c r="AA8" i="2"/>
  <c r="V8" i="2"/>
  <c r="AE7" i="2"/>
  <c r="AA7" i="2"/>
  <c r="V7" i="2"/>
  <c r="AE6" i="2"/>
  <c r="AA6" i="2"/>
  <c r="V6" i="2"/>
  <c r="T50" i="1"/>
  <c r="T36" i="1"/>
  <c r="T26" i="1"/>
  <c r="T21" i="1"/>
  <c r="T15" i="1"/>
  <c r="T10" i="1"/>
  <c r="Q50" i="1"/>
  <c r="Q36" i="1"/>
  <c r="Q26" i="1"/>
  <c r="Q21" i="1"/>
  <c r="Q15" i="1"/>
  <c r="Q10" i="1"/>
  <c r="Q51" i="1" s="1"/>
  <c r="V50" i="7" l="1"/>
  <c r="AE21" i="7"/>
  <c r="V26" i="7"/>
  <c r="AB51" i="7"/>
  <c r="V15" i="7"/>
  <c r="AA36" i="7"/>
  <c r="X51" i="7"/>
  <c r="AE10" i="7"/>
  <c r="AE51" i="7" s="1"/>
  <c r="R51" i="7"/>
  <c r="W51" i="7"/>
  <c r="AA15" i="7"/>
  <c r="T51" i="7"/>
  <c r="AA15" i="8"/>
  <c r="V21" i="8"/>
  <c r="AA26" i="8"/>
  <c r="V36" i="8"/>
  <c r="V50" i="8"/>
  <c r="V26" i="8"/>
  <c r="AB51" i="8"/>
  <c r="V15" i="8"/>
  <c r="AA36" i="8"/>
  <c r="X51" i="8"/>
  <c r="V15" i="3"/>
  <c r="V21" i="3"/>
  <c r="V26" i="3"/>
  <c r="AD51" i="3"/>
  <c r="AA10" i="3"/>
  <c r="AE10" i="3"/>
  <c r="AE51" i="3" s="1"/>
  <c r="V36" i="3"/>
  <c r="Z51" i="3"/>
  <c r="AE15" i="3"/>
  <c r="V15" i="2"/>
  <c r="AE36" i="2"/>
  <c r="V50" i="2"/>
  <c r="V21" i="2"/>
  <c r="AA21" i="2"/>
  <c r="V26" i="2"/>
  <c r="AA10" i="2"/>
  <c r="AE10" i="2"/>
  <c r="AE51" i="2" s="1"/>
  <c r="AA26" i="2"/>
  <c r="AE26" i="2"/>
  <c r="V36" i="2"/>
  <c r="T51" i="1"/>
  <c r="P51" i="8"/>
  <c r="T51" i="8"/>
  <c r="S51" i="8"/>
  <c r="R51" i="3"/>
  <c r="S51" i="3"/>
  <c r="Q51" i="2"/>
  <c r="U51" i="2"/>
  <c r="R51" i="2"/>
  <c r="Y39" i="6"/>
  <c r="Y20" i="6"/>
  <c r="Y47" i="6"/>
  <c r="Y19" i="6"/>
  <c r="Y43" i="6"/>
  <c r="Y32" i="6"/>
  <c r="Y9" i="6"/>
  <c r="Y35" i="6"/>
  <c r="Y8" i="6"/>
  <c r="Y14" i="6"/>
  <c r="Y26" i="6"/>
  <c r="Y50" i="6"/>
  <c r="Y40" i="6"/>
  <c r="Y13" i="6"/>
  <c r="Y25" i="6"/>
  <c r="Y31" i="6"/>
  <c r="Y46" i="6"/>
  <c r="Y36" i="6"/>
  <c r="Y38" i="6"/>
  <c r="Y7" i="6"/>
  <c r="Y12" i="6"/>
  <c r="Y17" i="6"/>
  <c r="Y18" i="6"/>
  <c r="Y24" i="6"/>
  <c r="Y34" i="6"/>
  <c r="Y30" i="6"/>
  <c r="Y49" i="6"/>
  <c r="Y45" i="6"/>
  <c r="Y41" i="6"/>
  <c r="Y42" i="6"/>
  <c r="Y10" i="6"/>
  <c r="Y15" i="6"/>
  <c r="Y21" i="6"/>
  <c r="Y23" i="6"/>
  <c r="Y28" i="6"/>
  <c r="Y33" i="6"/>
  <c r="Y29" i="6"/>
  <c r="Y48" i="6"/>
  <c r="Y44" i="6"/>
  <c r="P51" i="7"/>
  <c r="V10" i="7"/>
  <c r="AA10" i="7"/>
  <c r="AE51" i="8"/>
  <c r="V10" i="8"/>
  <c r="V51" i="8" s="1"/>
  <c r="AA10" i="8"/>
  <c r="AA51" i="8" s="1"/>
  <c r="AA51" i="3"/>
  <c r="V10" i="3"/>
  <c r="V51" i="3" s="1"/>
  <c r="AA51" i="2"/>
  <c r="V10" i="2"/>
  <c r="V51" i="2" s="1"/>
  <c r="V51" i="7" l="1"/>
  <c r="AA51" i="7"/>
  <c r="O50" i="8"/>
  <c r="N50" i="8"/>
  <c r="L50" i="8"/>
  <c r="K50" i="8"/>
  <c r="I50" i="8"/>
  <c r="H50" i="8"/>
  <c r="G50" i="8"/>
  <c r="F50" i="8"/>
  <c r="D50" i="8"/>
  <c r="C50" i="8"/>
  <c r="B50" i="8"/>
  <c r="M49" i="8"/>
  <c r="E49" i="8"/>
  <c r="M48" i="8"/>
  <c r="E48" i="8"/>
  <c r="M47" i="8"/>
  <c r="E47" i="8"/>
  <c r="M46" i="8"/>
  <c r="E46" i="8"/>
  <c r="M45" i="8"/>
  <c r="E45" i="8"/>
  <c r="M44" i="8"/>
  <c r="E44" i="8"/>
  <c r="M43" i="8"/>
  <c r="E43" i="8"/>
  <c r="M42" i="8"/>
  <c r="E42" i="8"/>
  <c r="M41" i="8"/>
  <c r="E41" i="8"/>
  <c r="M40" i="8"/>
  <c r="E40" i="8"/>
  <c r="M39" i="8"/>
  <c r="E39" i="8"/>
  <c r="M38" i="8"/>
  <c r="E38" i="8"/>
  <c r="M37" i="8"/>
  <c r="E37" i="8"/>
  <c r="O36" i="8"/>
  <c r="N36" i="8"/>
  <c r="K36" i="8"/>
  <c r="I36" i="8"/>
  <c r="H36" i="8"/>
  <c r="G36" i="8"/>
  <c r="D36" i="8"/>
  <c r="C36" i="8"/>
  <c r="B36" i="8"/>
  <c r="M35" i="8"/>
  <c r="E35" i="8"/>
  <c r="F34" i="8"/>
  <c r="E34" i="8"/>
  <c r="M33" i="8"/>
  <c r="E33" i="8"/>
  <c r="M32" i="8"/>
  <c r="E32" i="8"/>
  <c r="M31" i="8"/>
  <c r="E31" i="8"/>
  <c r="M30" i="8"/>
  <c r="E30" i="8"/>
  <c r="L29" i="8"/>
  <c r="E29" i="8"/>
  <c r="M28" i="8"/>
  <c r="E28" i="8"/>
  <c r="M27" i="8"/>
  <c r="E27" i="8"/>
  <c r="O26" i="8"/>
  <c r="N26" i="8"/>
  <c r="L26" i="8"/>
  <c r="K26" i="8"/>
  <c r="I26" i="8"/>
  <c r="H26" i="8"/>
  <c r="G26" i="8"/>
  <c r="F26" i="8"/>
  <c r="D26" i="8"/>
  <c r="C26" i="8"/>
  <c r="B26" i="8"/>
  <c r="M25" i="8"/>
  <c r="E25" i="8"/>
  <c r="M24" i="8"/>
  <c r="E24" i="8"/>
  <c r="M23" i="8"/>
  <c r="E23" i="8"/>
  <c r="M22" i="8"/>
  <c r="M26" i="8" s="1"/>
  <c r="E22" i="8"/>
  <c r="O21" i="8"/>
  <c r="N21" i="8"/>
  <c r="K21" i="8"/>
  <c r="I21" i="8"/>
  <c r="H21" i="8"/>
  <c r="G21" i="8"/>
  <c r="F21" i="8"/>
  <c r="D21" i="8"/>
  <c r="C21" i="8"/>
  <c r="B21" i="8"/>
  <c r="M20" i="8"/>
  <c r="E20" i="8"/>
  <c r="M19" i="8"/>
  <c r="E19" i="8"/>
  <c r="M18" i="8"/>
  <c r="E18" i="8"/>
  <c r="L17" i="8"/>
  <c r="H17" i="10" s="1"/>
  <c r="E17" i="8"/>
  <c r="L16" i="8"/>
  <c r="E16" i="8"/>
  <c r="O15" i="8"/>
  <c r="N15" i="8"/>
  <c r="L15" i="8"/>
  <c r="K15" i="8"/>
  <c r="I15" i="8"/>
  <c r="H15" i="8"/>
  <c r="G15" i="8"/>
  <c r="M14" i="8"/>
  <c r="E14" i="8"/>
  <c r="F13" i="8"/>
  <c r="M13" i="8" s="1"/>
  <c r="E13" i="8"/>
  <c r="M12" i="8"/>
  <c r="E12" i="8"/>
  <c r="M11" i="8"/>
  <c r="D11" i="8"/>
  <c r="D15" i="8" s="1"/>
  <c r="C11" i="8"/>
  <c r="C15" i="8" s="1"/>
  <c r="B11" i="8"/>
  <c r="B15" i="8" s="1"/>
  <c r="O10" i="8"/>
  <c r="O51" i="8" s="1"/>
  <c r="N10" i="8"/>
  <c r="K10" i="8"/>
  <c r="I10" i="8"/>
  <c r="H10" i="8"/>
  <c r="G10" i="8"/>
  <c r="F10" i="8"/>
  <c r="D10" i="8"/>
  <c r="C10" i="8"/>
  <c r="B10" i="8"/>
  <c r="M9" i="8"/>
  <c r="E9" i="8"/>
  <c r="M8" i="8"/>
  <c r="E8" i="8"/>
  <c r="L7" i="8"/>
  <c r="E7" i="8"/>
  <c r="M6" i="8"/>
  <c r="E6" i="8"/>
  <c r="O50" i="2"/>
  <c r="N50" i="2"/>
  <c r="L50" i="2"/>
  <c r="K50" i="2"/>
  <c r="I50" i="2"/>
  <c r="H50" i="2"/>
  <c r="G50" i="2"/>
  <c r="D50" i="2"/>
  <c r="C50" i="2"/>
  <c r="B50" i="2"/>
  <c r="M49" i="2"/>
  <c r="E49" i="2"/>
  <c r="M48" i="2"/>
  <c r="E48" i="2"/>
  <c r="M47" i="2"/>
  <c r="E47" i="2"/>
  <c r="M46" i="2"/>
  <c r="E46" i="2"/>
  <c r="M45" i="2"/>
  <c r="E45" i="2"/>
  <c r="M44" i="2"/>
  <c r="E44" i="2"/>
  <c r="M43" i="2"/>
  <c r="E43" i="2"/>
  <c r="M42" i="2"/>
  <c r="E42" i="2"/>
  <c r="M41" i="2"/>
  <c r="E41" i="2"/>
  <c r="M40" i="2"/>
  <c r="E40" i="2"/>
  <c r="M39" i="2"/>
  <c r="E39" i="2"/>
  <c r="M38" i="2"/>
  <c r="E38" i="2"/>
  <c r="F37" i="2"/>
  <c r="M37" i="2" s="1"/>
  <c r="M50" i="2" s="1"/>
  <c r="E37" i="2"/>
  <c r="E50" i="2" s="1"/>
  <c r="O36" i="2"/>
  <c r="N36" i="2"/>
  <c r="L36" i="2"/>
  <c r="K36" i="2"/>
  <c r="I36" i="2"/>
  <c r="H36" i="2"/>
  <c r="G36" i="2"/>
  <c r="F36" i="2"/>
  <c r="D36" i="2"/>
  <c r="C36" i="2"/>
  <c r="B36" i="2"/>
  <c r="M35" i="2"/>
  <c r="E35" i="2"/>
  <c r="M34" i="2"/>
  <c r="E34" i="2"/>
  <c r="M33" i="2"/>
  <c r="E33" i="2"/>
  <c r="M32" i="2"/>
  <c r="E32" i="2"/>
  <c r="M31" i="2"/>
  <c r="E31" i="2"/>
  <c r="M30" i="2"/>
  <c r="E30" i="2"/>
  <c r="M29" i="2"/>
  <c r="E29" i="2"/>
  <c r="M28" i="2"/>
  <c r="M36" i="2" s="1"/>
  <c r="E28" i="2"/>
  <c r="M27" i="2"/>
  <c r="E27" i="2"/>
  <c r="E36" i="2" s="1"/>
  <c r="O26" i="2"/>
  <c r="N26" i="2"/>
  <c r="L26" i="2"/>
  <c r="K26" i="2"/>
  <c r="I26" i="2"/>
  <c r="H26" i="2"/>
  <c r="G26" i="2"/>
  <c r="F26" i="2"/>
  <c r="D26" i="2"/>
  <c r="C26" i="2"/>
  <c r="B26" i="2"/>
  <c r="M25" i="2"/>
  <c r="E25" i="2"/>
  <c r="M24" i="2"/>
  <c r="E24" i="2"/>
  <c r="M23" i="2"/>
  <c r="E23" i="2"/>
  <c r="M22" i="2"/>
  <c r="E22" i="2"/>
  <c r="O21" i="2"/>
  <c r="N21" i="2"/>
  <c r="L21" i="2"/>
  <c r="K21" i="2"/>
  <c r="I21" i="2"/>
  <c r="H21" i="2"/>
  <c r="G21" i="2"/>
  <c r="D21" i="2"/>
  <c r="C21" i="2"/>
  <c r="B21" i="2"/>
  <c r="F20" i="2"/>
  <c r="E20" i="2"/>
  <c r="M19" i="2"/>
  <c r="E19" i="2"/>
  <c r="M18" i="2"/>
  <c r="F18" i="2"/>
  <c r="E18" i="2"/>
  <c r="F17" i="2"/>
  <c r="M17" i="2" s="1"/>
  <c r="E17" i="2"/>
  <c r="M16" i="2"/>
  <c r="E16" i="2"/>
  <c r="O15" i="2"/>
  <c r="N15" i="2"/>
  <c r="L15" i="2"/>
  <c r="K15" i="2"/>
  <c r="I15" i="2"/>
  <c r="H15" i="2"/>
  <c r="G15" i="2"/>
  <c r="F15" i="2"/>
  <c r="E15" i="2"/>
  <c r="D15" i="2"/>
  <c r="C15" i="2"/>
  <c r="B15" i="2"/>
  <c r="M14" i="2"/>
  <c r="E14" i="2"/>
  <c r="M13" i="2"/>
  <c r="E13" i="2"/>
  <c r="M12" i="2"/>
  <c r="E12" i="2"/>
  <c r="M11" i="2"/>
  <c r="E11" i="2"/>
  <c r="O10" i="2"/>
  <c r="O51" i="2" s="1"/>
  <c r="N10" i="2"/>
  <c r="N51" i="2" s="1"/>
  <c r="L10" i="2"/>
  <c r="K10" i="2"/>
  <c r="I10" i="2"/>
  <c r="I51" i="2" s="1"/>
  <c r="H10" i="2"/>
  <c r="H51" i="2" s="1"/>
  <c r="G10" i="2"/>
  <c r="F10" i="2"/>
  <c r="D10" i="2"/>
  <c r="C10" i="2"/>
  <c r="C51" i="2" s="1"/>
  <c r="B10" i="2"/>
  <c r="M9" i="2"/>
  <c r="E9" i="2"/>
  <c r="M8" i="2"/>
  <c r="E8" i="2"/>
  <c r="M7" i="2"/>
  <c r="E7" i="2"/>
  <c r="M6" i="2"/>
  <c r="E6" i="2"/>
  <c r="O50" i="3"/>
  <c r="N50" i="3"/>
  <c r="L50" i="3"/>
  <c r="K50" i="3"/>
  <c r="I50" i="3"/>
  <c r="H50" i="3"/>
  <c r="G50" i="3"/>
  <c r="F50" i="3"/>
  <c r="D50" i="3"/>
  <c r="C50" i="3"/>
  <c r="B50" i="3"/>
  <c r="M49" i="3"/>
  <c r="E49" i="3"/>
  <c r="M48" i="3"/>
  <c r="E48" i="3"/>
  <c r="M47" i="3"/>
  <c r="E47" i="3"/>
  <c r="M46" i="3"/>
  <c r="E46" i="3"/>
  <c r="M45" i="3"/>
  <c r="E45" i="3"/>
  <c r="M44" i="3"/>
  <c r="E44" i="3"/>
  <c r="M43" i="3"/>
  <c r="E43" i="3"/>
  <c r="M42" i="3"/>
  <c r="E42" i="3"/>
  <c r="M41" i="3"/>
  <c r="E41" i="3"/>
  <c r="M40" i="3"/>
  <c r="E40" i="3"/>
  <c r="M39" i="3"/>
  <c r="E39" i="3"/>
  <c r="M38" i="3"/>
  <c r="M50" i="3" s="1"/>
  <c r="E38" i="3"/>
  <c r="M37" i="3"/>
  <c r="E37" i="3"/>
  <c r="O36" i="3"/>
  <c r="N36" i="3"/>
  <c r="L36" i="3"/>
  <c r="K36" i="3"/>
  <c r="I36" i="3"/>
  <c r="H36" i="3"/>
  <c r="G36" i="3"/>
  <c r="F36" i="3"/>
  <c r="D36" i="3"/>
  <c r="C36" i="3"/>
  <c r="B36" i="3"/>
  <c r="M35" i="3"/>
  <c r="E35" i="3"/>
  <c r="M34" i="3"/>
  <c r="E34" i="3"/>
  <c r="M33" i="3"/>
  <c r="E33" i="3"/>
  <c r="M32" i="3"/>
  <c r="E32" i="3"/>
  <c r="M31" i="3"/>
  <c r="E31" i="3"/>
  <c r="M30" i="3"/>
  <c r="E30" i="3"/>
  <c r="M29" i="3"/>
  <c r="E29" i="3"/>
  <c r="M28" i="3"/>
  <c r="E28" i="3"/>
  <c r="M27" i="3"/>
  <c r="E27" i="3"/>
  <c r="E36" i="3" s="1"/>
  <c r="O26" i="3"/>
  <c r="N26" i="3"/>
  <c r="L26" i="3"/>
  <c r="K26" i="3"/>
  <c r="I26" i="3"/>
  <c r="H26" i="3"/>
  <c r="G26" i="3"/>
  <c r="F26" i="3"/>
  <c r="D26" i="3"/>
  <c r="C26" i="3"/>
  <c r="B26" i="3"/>
  <c r="M25" i="3"/>
  <c r="E25" i="3"/>
  <c r="M24" i="3"/>
  <c r="E24" i="3"/>
  <c r="M23" i="3"/>
  <c r="E23" i="3"/>
  <c r="M22" i="3"/>
  <c r="E22" i="3"/>
  <c r="O21" i="3"/>
  <c r="N21" i="3"/>
  <c r="L21" i="3"/>
  <c r="K21" i="3"/>
  <c r="I21" i="3"/>
  <c r="H21" i="3"/>
  <c r="G21" i="3"/>
  <c r="D21" i="3"/>
  <c r="C21" i="3"/>
  <c r="B21" i="3"/>
  <c r="M20" i="3"/>
  <c r="E20" i="3"/>
  <c r="M19" i="3"/>
  <c r="E19" i="3"/>
  <c r="M18" i="3"/>
  <c r="F18" i="3"/>
  <c r="F21" i="3" s="1"/>
  <c r="E18" i="3"/>
  <c r="M17" i="3"/>
  <c r="E17" i="3"/>
  <c r="M16" i="3"/>
  <c r="E16" i="3"/>
  <c r="E21" i="3" s="1"/>
  <c r="O15" i="3"/>
  <c r="N15" i="3"/>
  <c r="L15" i="3"/>
  <c r="K15" i="3"/>
  <c r="I15" i="3"/>
  <c r="H15" i="3"/>
  <c r="G15" i="3"/>
  <c r="D15" i="3"/>
  <c r="C15" i="3"/>
  <c r="B15" i="3"/>
  <c r="M14" i="3"/>
  <c r="E14" i="3"/>
  <c r="F13" i="3"/>
  <c r="E13" i="3"/>
  <c r="M12" i="3"/>
  <c r="E12" i="3"/>
  <c r="M11" i="3"/>
  <c r="E11" i="3"/>
  <c r="O10" i="3"/>
  <c r="N10" i="3"/>
  <c r="L10" i="3"/>
  <c r="L51" i="3" s="1"/>
  <c r="K10" i="3"/>
  <c r="I10" i="3"/>
  <c r="H10" i="3"/>
  <c r="G10" i="3"/>
  <c r="G51" i="3" s="1"/>
  <c r="F10" i="3"/>
  <c r="E10" i="3"/>
  <c r="D10" i="3"/>
  <c r="C10" i="3"/>
  <c r="C51" i="3" s="1"/>
  <c r="B10" i="3"/>
  <c r="M9" i="3"/>
  <c r="E9" i="3"/>
  <c r="M8" i="3"/>
  <c r="E8" i="3"/>
  <c r="M7" i="3"/>
  <c r="E7" i="3"/>
  <c r="M6" i="3"/>
  <c r="E6" i="3"/>
  <c r="Z50" i="1"/>
  <c r="Y50" i="1"/>
  <c r="X50" i="1"/>
  <c r="W50" i="1"/>
  <c r="U50" i="1"/>
  <c r="S50" i="1"/>
  <c r="R50" i="1"/>
  <c r="P50" i="1"/>
  <c r="O50" i="1"/>
  <c r="N50" i="1"/>
  <c r="L50" i="1"/>
  <c r="K50" i="1"/>
  <c r="I50" i="1"/>
  <c r="H50" i="1"/>
  <c r="G50" i="1"/>
  <c r="D50" i="1"/>
  <c r="C50" i="1"/>
  <c r="B50" i="1"/>
  <c r="AA49" i="1"/>
  <c r="V49" i="1"/>
  <c r="M49" i="1"/>
  <c r="E49" i="1"/>
  <c r="D49" i="10" s="1"/>
  <c r="E49" i="10" s="1"/>
  <c r="AA48" i="1"/>
  <c r="V48" i="1"/>
  <c r="M48" i="1"/>
  <c r="E48" i="1"/>
  <c r="D48" i="10" s="1"/>
  <c r="E48" i="10" s="1"/>
  <c r="AA47" i="1"/>
  <c r="V47" i="1"/>
  <c r="M47" i="1"/>
  <c r="E47" i="1"/>
  <c r="D47" i="10" s="1"/>
  <c r="E47" i="10" s="1"/>
  <c r="AA46" i="1"/>
  <c r="V46" i="1"/>
  <c r="M46" i="1"/>
  <c r="E46" i="1"/>
  <c r="D46" i="10" s="1"/>
  <c r="E46" i="10" s="1"/>
  <c r="AA45" i="1"/>
  <c r="V45" i="1"/>
  <c r="M45" i="1"/>
  <c r="E45" i="1"/>
  <c r="D45" i="10" s="1"/>
  <c r="E45" i="10" s="1"/>
  <c r="AA44" i="1"/>
  <c r="V44" i="1"/>
  <c r="M44" i="1"/>
  <c r="E44" i="1"/>
  <c r="D44" i="10" s="1"/>
  <c r="E44" i="10" s="1"/>
  <c r="AA43" i="1"/>
  <c r="V43" i="1"/>
  <c r="M43" i="1"/>
  <c r="E43" i="1"/>
  <c r="D43" i="10" s="1"/>
  <c r="E43" i="10" s="1"/>
  <c r="AA42" i="1"/>
  <c r="V42" i="1"/>
  <c r="M42" i="1"/>
  <c r="E42" i="1"/>
  <c r="D42" i="10" s="1"/>
  <c r="E42" i="10" s="1"/>
  <c r="AA41" i="1"/>
  <c r="V41" i="1"/>
  <c r="M41" i="1"/>
  <c r="E41" i="1"/>
  <c r="D41" i="10" s="1"/>
  <c r="E41" i="10" s="1"/>
  <c r="AA40" i="1"/>
  <c r="V40" i="1"/>
  <c r="M40" i="1"/>
  <c r="E40" i="1"/>
  <c r="D40" i="10" s="1"/>
  <c r="E40" i="10" s="1"/>
  <c r="AA39" i="1"/>
  <c r="V39" i="1"/>
  <c r="M39" i="1"/>
  <c r="E39" i="1"/>
  <c r="D39" i="10" s="1"/>
  <c r="E39" i="10" s="1"/>
  <c r="AA38" i="1"/>
  <c r="V38" i="1"/>
  <c r="M38" i="1"/>
  <c r="E38" i="1"/>
  <c r="D38" i="10" s="1"/>
  <c r="E38" i="10" s="1"/>
  <c r="AA37" i="1"/>
  <c r="AA50" i="1" s="1"/>
  <c r="V37" i="1"/>
  <c r="R37" i="10" s="1"/>
  <c r="F37" i="1"/>
  <c r="E37" i="1"/>
  <c r="Z36" i="1"/>
  <c r="Y36" i="1"/>
  <c r="X36" i="1"/>
  <c r="W36" i="1"/>
  <c r="U36" i="1"/>
  <c r="S36" i="1"/>
  <c r="R36" i="1"/>
  <c r="P36" i="1"/>
  <c r="O36" i="1"/>
  <c r="N36" i="1"/>
  <c r="L36" i="1"/>
  <c r="K36" i="1"/>
  <c r="I36" i="1"/>
  <c r="H36" i="1"/>
  <c r="G36" i="1"/>
  <c r="F36" i="1"/>
  <c r="D36" i="1"/>
  <c r="C36" i="1"/>
  <c r="B36" i="1"/>
  <c r="AA35" i="1"/>
  <c r="V35" i="1"/>
  <c r="M35" i="1"/>
  <c r="E35" i="1"/>
  <c r="D35" i="10" s="1"/>
  <c r="E35" i="10" s="1"/>
  <c r="AA34" i="1"/>
  <c r="V34" i="1"/>
  <c r="M34" i="1"/>
  <c r="E34" i="1"/>
  <c r="D34" i="10" s="1"/>
  <c r="AA33" i="1"/>
  <c r="V33" i="1"/>
  <c r="M33" i="1"/>
  <c r="E33" i="1"/>
  <c r="D33" i="10" s="1"/>
  <c r="E33" i="10" s="1"/>
  <c r="AA32" i="1"/>
  <c r="V32" i="1"/>
  <c r="M32" i="1"/>
  <c r="E32" i="1"/>
  <c r="D32" i="10" s="1"/>
  <c r="E32" i="10" s="1"/>
  <c r="AA31" i="1"/>
  <c r="V31" i="1"/>
  <c r="M31" i="1"/>
  <c r="E31" i="1"/>
  <c r="D31" i="10" s="1"/>
  <c r="E31" i="10" s="1"/>
  <c r="AA30" i="1"/>
  <c r="V30" i="1"/>
  <c r="M30" i="1"/>
  <c r="E30" i="1"/>
  <c r="D30" i="10" s="1"/>
  <c r="E30" i="10" s="1"/>
  <c r="AA29" i="1"/>
  <c r="V29" i="1"/>
  <c r="M29" i="1"/>
  <c r="E29" i="1"/>
  <c r="D29" i="10" s="1"/>
  <c r="E29" i="10" s="1"/>
  <c r="AA28" i="1"/>
  <c r="V28" i="1"/>
  <c r="M28" i="1"/>
  <c r="E28" i="1"/>
  <c r="D28" i="10" s="1"/>
  <c r="E28" i="10" s="1"/>
  <c r="AA27" i="1"/>
  <c r="V27" i="1"/>
  <c r="R27" i="10" s="1"/>
  <c r="M27" i="1"/>
  <c r="E27" i="1"/>
  <c r="D27" i="10" s="1"/>
  <c r="Z26" i="1"/>
  <c r="Y26" i="1"/>
  <c r="X26" i="1"/>
  <c r="W26" i="1"/>
  <c r="U26" i="1"/>
  <c r="S26" i="1"/>
  <c r="R26" i="1"/>
  <c r="P26" i="1"/>
  <c r="O26" i="1"/>
  <c r="N26" i="1"/>
  <c r="L26" i="1"/>
  <c r="K26" i="1"/>
  <c r="I26" i="1"/>
  <c r="H26" i="1"/>
  <c r="G26" i="1"/>
  <c r="F26" i="1"/>
  <c r="D26" i="1"/>
  <c r="C26" i="1"/>
  <c r="B26" i="1"/>
  <c r="AA25" i="1"/>
  <c r="V25" i="1"/>
  <c r="M25" i="1"/>
  <c r="E25" i="1"/>
  <c r="D25" i="10" s="1"/>
  <c r="E25" i="10" s="1"/>
  <c r="AA24" i="1"/>
  <c r="V24" i="1"/>
  <c r="M24" i="1"/>
  <c r="E24" i="1"/>
  <c r="D24" i="10" s="1"/>
  <c r="E24" i="10" s="1"/>
  <c r="AA23" i="1"/>
  <c r="V23" i="1"/>
  <c r="M23" i="1"/>
  <c r="E23" i="1"/>
  <c r="D23" i="10" s="1"/>
  <c r="E23" i="10" s="1"/>
  <c r="AA22" i="1"/>
  <c r="W22" i="10" s="1"/>
  <c r="V22" i="1"/>
  <c r="R22" i="10" s="1"/>
  <c r="M22" i="1"/>
  <c r="E22" i="1"/>
  <c r="Z21" i="1"/>
  <c r="Y21" i="1"/>
  <c r="X21" i="1"/>
  <c r="W21" i="1"/>
  <c r="U21" i="1"/>
  <c r="S21" i="1"/>
  <c r="R21" i="1"/>
  <c r="P21" i="1"/>
  <c r="O21" i="1"/>
  <c r="N21" i="1"/>
  <c r="L21" i="1"/>
  <c r="K21" i="1"/>
  <c r="I21" i="1"/>
  <c r="H21" i="1"/>
  <c r="G21" i="1"/>
  <c r="D21" i="1"/>
  <c r="C21" i="1"/>
  <c r="B21" i="1"/>
  <c r="AA20" i="1"/>
  <c r="V20" i="1"/>
  <c r="F20" i="1"/>
  <c r="E20" i="1"/>
  <c r="D20" i="10" s="1"/>
  <c r="AA19" i="1"/>
  <c r="V19" i="1"/>
  <c r="M19" i="1"/>
  <c r="E19" i="1"/>
  <c r="D19" i="10" s="1"/>
  <c r="E19" i="10" s="1"/>
  <c r="AA18" i="1"/>
  <c r="V18" i="1"/>
  <c r="M18" i="1"/>
  <c r="F18" i="1"/>
  <c r="B18" i="10" s="1"/>
  <c r="E18" i="1"/>
  <c r="D18" i="10" s="1"/>
  <c r="AA17" i="1"/>
  <c r="V17" i="1"/>
  <c r="F17" i="1"/>
  <c r="E17" i="1"/>
  <c r="D17" i="10" s="1"/>
  <c r="AA16" i="1"/>
  <c r="W16" i="10" s="1"/>
  <c r="V16" i="1"/>
  <c r="M16" i="1"/>
  <c r="E16" i="1"/>
  <c r="Z15" i="1"/>
  <c r="Y15" i="1"/>
  <c r="X15" i="1"/>
  <c r="W15" i="1"/>
  <c r="U15" i="1"/>
  <c r="S15" i="1"/>
  <c r="R15" i="1"/>
  <c r="P15" i="1"/>
  <c r="O15" i="1"/>
  <c r="N15" i="1"/>
  <c r="L15" i="1"/>
  <c r="K15" i="1"/>
  <c r="I15" i="1"/>
  <c r="H15" i="1"/>
  <c r="G15" i="1"/>
  <c r="F15" i="1"/>
  <c r="E15" i="1"/>
  <c r="D15" i="1"/>
  <c r="C15" i="1"/>
  <c r="B15" i="1"/>
  <c r="AA14" i="1"/>
  <c r="V14" i="1"/>
  <c r="M14" i="1"/>
  <c r="E14" i="1"/>
  <c r="D14" i="10" s="1"/>
  <c r="E14" i="10" s="1"/>
  <c r="AA13" i="1"/>
  <c r="V13" i="1"/>
  <c r="M13" i="1"/>
  <c r="E13" i="1"/>
  <c r="D13" i="10" s="1"/>
  <c r="AA12" i="1"/>
  <c r="V12" i="1"/>
  <c r="M12" i="1"/>
  <c r="E12" i="1"/>
  <c r="D12" i="10" s="1"/>
  <c r="E12" i="10" s="1"/>
  <c r="AA11" i="1"/>
  <c r="V11" i="1"/>
  <c r="R11" i="10" s="1"/>
  <c r="M11" i="1"/>
  <c r="E11" i="1"/>
  <c r="D11" i="10" s="1"/>
  <c r="Z10" i="1"/>
  <c r="Z51" i="1" s="1"/>
  <c r="Y10" i="1"/>
  <c r="Y51" i="1" s="1"/>
  <c r="X10" i="1"/>
  <c r="W10" i="1"/>
  <c r="U10" i="1"/>
  <c r="S10" i="1"/>
  <c r="R10" i="1"/>
  <c r="P10" i="1"/>
  <c r="O10" i="1"/>
  <c r="N10" i="1"/>
  <c r="L10" i="1"/>
  <c r="K10" i="1"/>
  <c r="K51" i="1" s="1"/>
  <c r="I10" i="1"/>
  <c r="H10" i="1"/>
  <c r="G10" i="1"/>
  <c r="F10" i="1"/>
  <c r="D10" i="1"/>
  <c r="C10" i="1"/>
  <c r="B10" i="1"/>
  <c r="AA9" i="1"/>
  <c r="V9" i="1"/>
  <c r="M9" i="1"/>
  <c r="E9" i="1"/>
  <c r="D9" i="10" s="1"/>
  <c r="E9" i="10" s="1"/>
  <c r="AA8" i="1"/>
  <c r="V8" i="1"/>
  <c r="M8" i="1"/>
  <c r="E8" i="1"/>
  <c r="D8" i="10" s="1"/>
  <c r="E8" i="10" s="1"/>
  <c r="AA7" i="1"/>
  <c r="V7" i="1"/>
  <c r="M7" i="1"/>
  <c r="E7" i="1"/>
  <c r="D7" i="10" s="1"/>
  <c r="AA6" i="1"/>
  <c r="V6" i="1"/>
  <c r="M6" i="1"/>
  <c r="E6" i="1"/>
  <c r="AD50" i="1"/>
  <c r="AC50" i="1"/>
  <c r="AB50" i="1"/>
  <c r="AE49" i="1"/>
  <c r="AE48" i="1"/>
  <c r="AE47" i="1"/>
  <c r="AE46" i="1"/>
  <c r="AE45" i="1"/>
  <c r="AE44" i="1"/>
  <c r="AE43" i="1"/>
  <c r="AE42" i="1"/>
  <c r="AE41" i="1"/>
  <c r="AE40" i="1"/>
  <c r="AE39" i="1"/>
  <c r="AE38" i="1"/>
  <c r="AE37" i="1"/>
  <c r="AD36" i="1"/>
  <c r="AC36" i="1"/>
  <c r="AB36" i="1"/>
  <c r="AE35" i="1"/>
  <c r="AE34" i="1"/>
  <c r="AE33" i="1"/>
  <c r="AE32" i="1"/>
  <c r="AE31" i="1"/>
  <c r="AE30" i="1"/>
  <c r="AE29" i="1"/>
  <c r="AE28" i="1"/>
  <c r="AE27" i="1"/>
  <c r="AD26" i="1"/>
  <c r="AC26" i="1"/>
  <c r="AB26" i="1"/>
  <c r="AE25" i="1"/>
  <c r="AE24" i="1"/>
  <c r="AE23" i="1"/>
  <c r="AE22" i="1"/>
  <c r="AD21" i="1"/>
  <c r="AC21" i="1"/>
  <c r="AB21" i="1"/>
  <c r="AE20" i="1"/>
  <c r="AE19" i="1"/>
  <c r="AE18" i="1"/>
  <c r="AE17" i="1"/>
  <c r="AE16" i="1"/>
  <c r="AD15" i="1"/>
  <c r="AC15" i="1"/>
  <c r="AB15" i="1"/>
  <c r="AE14" i="1"/>
  <c r="AE13" i="1"/>
  <c r="AE12" i="1"/>
  <c r="AE11" i="1"/>
  <c r="AD10" i="1"/>
  <c r="AC10" i="1"/>
  <c r="AB10" i="1"/>
  <c r="AB51" i="1" s="1"/>
  <c r="AE9" i="1"/>
  <c r="AE8" i="1"/>
  <c r="AE7" i="1"/>
  <c r="AE6" i="1"/>
  <c r="E10" i="8" l="1"/>
  <c r="M16" i="8"/>
  <c r="H16" i="10"/>
  <c r="H21" i="10" s="1"/>
  <c r="M29" i="8"/>
  <c r="M36" i="8" s="1"/>
  <c r="H29" i="10"/>
  <c r="H36" i="10" s="1"/>
  <c r="F36" i="8"/>
  <c r="B34" i="10"/>
  <c r="B36" i="10" s="1"/>
  <c r="L10" i="8"/>
  <c r="H7" i="10"/>
  <c r="H10" i="10" s="1"/>
  <c r="M17" i="8"/>
  <c r="M34" i="8"/>
  <c r="F15" i="3"/>
  <c r="B13" i="10"/>
  <c r="B15" i="10" s="1"/>
  <c r="D51" i="3"/>
  <c r="M13" i="3"/>
  <c r="E15" i="3"/>
  <c r="E26" i="3"/>
  <c r="M36" i="3"/>
  <c r="E50" i="3"/>
  <c r="F21" i="2"/>
  <c r="E21" i="2"/>
  <c r="E10" i="2"/>
  <c r="M15" i="2"/>
  <c r="E26" i="2"/>
  <c r="U6" i="10"/>
  <c r="V6" i="10" s="1"/>
  <c r="R6" i="10"/>
  <c r="U9" i="10"/>
  <c r="V9" i="10" s="1"/>
  <c r="R9" i="10"/>
  <c r="U12" i="10"/>
  <c r="V12" i="10" s="1"/>
  <c r="R12" i="10"/>
  <c r="Z7" i="10"/>
  <c r="W7" i="10"/>
  <c r="Z9" i="10"/>
  <c r="W9" i="10"/>
  <c r="Z12" i="10"/>
  <c r="W12" i="10"/>
  <c r="Z14" i="10"/>
  <c r="W14" i="10"/>
  <c r="L40" i="10"/>
  <c r="L41" i="10"/>
  <c r="L42" i="10"/>
  <c r="L43" i="10"/>
  <c r="L45" i="10"/>
  <c r="L47" i="10"/>
  <c r="L49" i="10"/>
  <c r="E18" i="10"/>
  <c r="Z18" i="10"/>
  <c r="W18" i="10"/>
  <c r="Z19" i="10"/>
  <c r="W19" i="10"/>
  <c r="Z20" i="10"/>
  <c r="W20" i="10"/>
  <c r="L23" i="10"/>
  <c r="U28" i="10"/>
  <c r="V28" i="10" s="1"/>
  <c r="R28" i="10"/>
  <c r="U29" i="10"/>
  <c r="V29" i="10" s="1"/>
  <c r="R29" i="10"/>
  <c r="U30" i="10"/>
  <c r="V30" i="10" s="1"/>
  <c r="R30" i="10"/>
  <c r="U31" i="10"/>
  <c r="V31" i="10" s="1"/>
  <c r="R31" i="10"/>
  <c r="U32" i="10"/>
  <c r="V32" i="10" s="1"/>
  <c r="R32" i="10"/>
  <c r="U33" i="10"/>
  <c r="V33" i="10" s="1"/>
  <c r="R33" i="10"/>
  <c r="U34" i="10"/>
  <c r="V34" i="10" s="1"/>
  <c r="R34" i="10"/>
  <c r="U35" i="10"/>
  <c r="V35" i="10" s="1"/>
  <c r="R35" i="10"/>
  <c r="U38" i="10"/>
  <c r="V38" i="10" s="1"/>
  <c r="R38" i="10"/>
  <c r="U39" i="10"/>
  <c r="V39" i="10" s="1"/>
  <c r="R39" i="10"/>
  <c r="U40" i="10"/>
  <c r="V40" i="10" s="1"/>
  <c r="R40" i="10"/>
  <c r="U41" i="10"/>
  <c r="V41" i="10" s="1"/>
  <c r="R41" i="10"/>
  <c r="U42" i="10"/>
  <c r="V42" i="10" s="1"/>
  <c r="R42" i="10"/>
  <c r="U43" i="10"/>
  <c r="V43" i="10" s="1"/>
  <c r="R43" i="10"/>
  <c r="U44" i="10"/>
  <c r="V44" i="10" s="1"/>
  <c r="R44" i="10"/>
  <c r="U45" i="10"/>
  <c r="V45" i="10" s="1"/>
  <c r="R45" i="10"/>
  <c r="U46" i="10"/>
  <c r="V46" i="10" s="1"/>
  <c r="R46" i="10"/>
  <c r="U47" i="10"/>
  <c r="V47" i="10" s="1"/>
  <c r="R47" i="10"/>
  <c r="U48" i="10"/>
  <c r="V48" i="10" s="1"/>
  <c r="R48" i="10"/>
  <c r="U49" i="10"/>
  <c r="V49" i="10" s="1"/>
  <c r="R49" i="10"/>
  <c r="U8" i="10"/>
  <c r="V8" i="10" s="1"/>
  <c r="R8" i="10"/>
  <c r="AC51" i="1"/>
  <c r="Z6" i="10"/>
  <c r="W6" i="10"/>
  <c r="Z8" i="10"/>
  <c r="W8" i="10"/>
  <c r="V10" i="1"/>
  <c r="Z11" i="10"/>
  <c r="W11" i="10"/>
  <c r="Z13" i="10"/>
  <c r="W13" i="10"/>
  <c r="Z17" i="10"/>
  <c r="W17" i="10"/>
  <c r="U18" i="10"/>
  <c r="V18" i="10" s="1"/>
  <c r="R18" i="10"/>
  <c r="U19" i="10"/>
  <c r="V19" i="10" s="1"/>
  <c r="R19" i="10"/>
  <c r="U20" i="10"/>
  <c r="V20" i="10" s="1"/>
  <c r="R20" i="10"/>
  <c r="F50" i="1"/>
  <c r="B37" i="10"/>
  <c r="B50" i="10" s="1"/>
  <c r="L39" i="10"/>
  <c r="L46" i="10"/>
  <c r="L48" i="10"/>
  <c r="X51" i="1"/>
  <c r="M17" i="1"/>
  <c r="B17" i="10"/>
  <c r="U23" i="10"/>
  <c r="V23" i="10" s="1"/>
  <c r="R23" i="10"/>
  <c r="U24" i="10"/>
  <c r="V24" i="10" s="1"/>
  <c r="R24" i="10"/>
  <c r="U25" i="10"/>
  <c r="V25" i="10" s="1"/>
  <c r="R25" i="10"/>
  <c r="Z27" i="10"/>
  <c r="W27" i="10"/>
  <c r="Z28" i="10"/>
  <c r="W28" i="10"/>
  <c r="Z29" i="10"/>
  <c r="W29" i="10"/>
  <c r="Z30" i="10"/>
  <c r="W30" i="10"/>
  <c r="Z31" i="10"/>
  <c r="W31" i="10"/>
  <c r="Z32" i="10"/>
  <c r="W32" i="10"/>
  <c r="Z33" i="10"/>
  <c r="W33" i="10"/>
  <c r="Z34" i="10"/>
  <c r="W34" i="10"/>
  <c r="Z35" i="10"/>
  <c r="W35" i="10"/>
  <c r="AA36" i="1"/>
  <c r="Z37" i="10"/>
  <c r="W37" i="10"/>
  <c r="Z38" i="10"/>
  <c r="W38" i="10"/>
  <c r="Z39" i="10"/>
  <c r="W39" i="10"/>
  <c r="Z40" i="10"/>
  <c r="W40" i="10"/>
  <c r="Z41" i="10"/>
  <c r="W41" i="10"/>
  <c r="Z42" i="10"/>
  <c r="W42" i="10"/>
  <c r="Z43" i="10"/>
  <c r="W43" i="10"/>
  <c r="Z44" i="10"/>
  <c r="W44" i="10"/>
  <c r="Z45" i="10"/>
  <c r="W45" i="10"/>
  <c r="Z46" i="10"/>
  <c r="W46" i="10"/>
  <c r="Z47" i="10"/>
  <c r="W47" i="10"/>
  <c r="Z48" i="10"/>
  <c r="W48" i="10"/>
  <c r="Z49" i="10"/>
  <c r="W49" i="10"/>
  <c r="U7" i="10"/>
  <c r="R7" i="10"/>
  <c r="U13" i="10"/>
  <c r="V13" i="10" s="1"/>
  <c r="R13" i="10"/>
  <c r="U14" i="10"/>
  <c r="V14" i="10" s="1"/>
  <c r="R14" i="10"/>
  <c r="U16" i="10"/>
  <c r="V16" i="10" s="1"/>
  <c r="R16" i="10"/>
  <c r="U17" i="10"/>
  <c r="V17" i="10" s="1"/>
  <c r="R17" i="10"/>
  <c r="M20" i="1"/>
  <c r="B20" i="10"/>
  <c r="E20" i="10" s="1"/>
  <c r="Z23" i="10"/>
  <c r="W23" i="10"/>
  <c r="Z24" i="10"/>
  <c r="W24" i="10"/>
  <c r="Z25" i="10"/>
  <c r="W25" i="10"/>
  <c r="AD7" i="10"/>
  <c r="AE7" i="10" s="1"/>
  <c r="AD13" i="10"/>
  <c r="AE13" i="10" s="1"/>
  <c r="AD31" i="10"/>
  <c r="AE31" i="10" s="1"/>
  <c r="AD37" i="10"/>
  <c r="AD45" i="10"/>
  <c r="AE45" i="10" s="1"/>
  <c r="P20" i="6"/>
  <c r="L19" i="10"/>
  <c r="AA26" i="1"/>
  <c r="Z22" i="10"/>
  <c r="E27" i="10"/>
  <c r="D36" i="10"/>
  <c r="AD8" i="10"/>
  <c r="AE21" i="1"/>
  <c r="AD16" i="10"/>
  <c r="AD32" i="10"/>
  <c r="AE32" i="10" s="1"/>
  <c r="AD42" i="10"/>
  <c r="AE42" i="10" s="1"/>
  <c r="AD46" i="10"/>
  <c r="AE46" i="10" s="1"/>
  <c r="E10" i="1"/>
  <c r="D6" i="10"/>
  <c r="E6" i="10" s="1"/>
  <c r="AA15" i="1"/>
  <c r="AA21" i="1"/>
  <c r="Z16" i="10"/>
  <c r="E26" i="1"/>
  <c r="D22" i="10"/>
  <c r="M36" i="1"/>
  <c r="P28" i="6"/>
  <c r="L27" i="10"/>
  <c r="P29" i="6"/>
  <c r="L28" i="10"/>
  <c r="P30" i="6"/>
  <c r="L29" i="10"/>
  <c r="P31" i="6"/>
  <c r="L30" i="10"/>
  <c r="P32" i="6"/>
  <c r="L31" i="10"/>
  <c r="P33" i="6"/>
  <c r="L32" i="10"/>
  <c r="P34" i="6"/>
  <c r="L33" i="10"/>
  <c r="P35" i="6"/>
  <c r="L34" i="10"/>
  <c r="P36" i="6"/>
  <c r="L35" i="10"/>
  <c r="E50" i="1"/>
  <c r="D37" i="10"/>
  <c r="AD19" i="10"/>
  <c r="AE19" i="10" s="1"/>
  <c r="AD25" i="10"/>
  <c r="AE25" i="10" s="1"/>
  <c r="AD35" i="10"/>
  <c r="AE35" i="10" s="1"/>
  <c r="AD41" i="10"/>
  <c r="AE41" i="10" s="1"/>
  <c r="AD49" i="10"/>
  <c r="AE49" i="10" s="1"/>
  <c r="P19" i="6"/>
  <c r="L18" i="10"/>
  <c r="V50" i="1"/>
  <c r="U37" i="10"/>
  <c r="AD51" i="1"/>
  <c r="AD20" i="10"/>
  <c r="AE20" i="10" s="1"/>
  <c r="AD28" i="10"/>
  <c r="AE28" i="10" s="1"/>
  <c r="W51" i="1"/>
  <c r="AD9" i="10"/>
  <c r="AE9" i="10" s="1"/>
  <c r="AD23" i="10"/>
  <c r="AE23" i="10" s="1"/>
  <c r="AD33" i="10"/>
  <c r="AE33" i="10" s="1"/>
  <c r="AD39" i="10"/>
  <c r="AE39" i="10" s="1"/>
  <c r="AD47" i="10"/>
  <c r="AE47" i="10" s="1"/>
  <c r="M10" i="1"/>
  <c r="P7" i="6"/>
  <c r="L6" i="10"/>
  <c r="P9" i="6"/>
  <c r="L8" i="10"/>
  <c r="M15" i="1"/>
  <c r="P12" i="6"/>
  <c r="L11" i="10"/>
  <c r="P14" i="6"/>
  <c r="L13" i="10"/>
  <c r="M26" i="1"/>
  <c r="P23" i="6"/>
  <c r="L22" i="10"/>
  <c r="P25" i="6"/>
  <c r="L24" i="10"/>
  <c r="P26" i="6"/>
  <c r="L25" i="10"/>
  <c r="V36" i="1"/>
  <c r="U27" i="10"/>
  <c r="AD27" i="10"/>
  <c r="Z10" i="10"/>
  <c r="P21" i="6"/>
  <c r="L20" i="10"/>
  <c r="AD14" i="10"/>
  <c r="AE14" i="10" s="1"/>
  <c r="AD22" i="10"/>
  <c r="AD38" i="10"/>
  <c r="AE38" i="10" s="1"/>
  <c r="E7" i="10"/>
  <c r="D15" i="10"/>
  <c r="E11" i="10"/>
  <c r="AE15" i="1"/>
  <c r="AD11" i="10"/>
  <c r="AD17" i="10"/>
  <c r="AE17" i="10" s="1"/>
  <c r="AD29" i="10"/>
  <c r="AE29" i="10" s="1"/>
  <c r="AD43" i="10"/>
  <c r="AE43" i="10" s="1"/>
  <c r="P8" i="6"/>
  <c r="L7" i="10"/>
  <c r="P10" i="6"/>
  <c r="L9" i="10"/>
  <c r="P13" i="6"/>
  <c r="L12" i="10"/>
  <c r="P15" i="6"/>
  <c r="L14" i="10"/>
  <c r="E21" i="1"/>
  <c r="D16" i="10"/>
  <c r="AE10" i="1"/>
  <c r="AE51" i="1" s="1"/>
  <c r="AD6" i="10"/>
  <c r="AE6" i="10" s="1"/>
  <c r="AD12" i="10"/>
  <c r="AE12" i="10" s="1"/>
  <c r="AD18" i="10"/>
  <c r="AE18" i="10" s="1"/>
  <c r="AE26" i="1"/>
  <c r="AD24" i="10"/>
  <c r="AE24" i="10" s="1"/>
  <c r="AE36" i="1"/>
  <c r="AD30" i="10"/>
  <c r="AE30" i="10" s="1"/>
  <c r="AD34" i="10"/>
  <c r="AE34" i="10" s="1"/>
  <c r="AE50" i="1"/>
  <c r="AD40" i="10"/>
  <c r="AE40" i="10" s="1"/>
  <c r="AD44" i="10"/>
  <c r="AE44" i="10" s="1"/>
  <c r="AD48" i="10"/>
  <c r="AE48" i="10" s="1"/>
  <c r="V7" i="10"/>
  <c r="V15" i="1"/>
  <c r="U11" i="10"/>
  <c r="P17" i="6"/>
  <c r="L16" i="10"/>
  <c r="P18" i="6"/>
  <c r="L17" i="10"/>
  <c r="V26" i="1"/>
  <c r="U22" i="10"/>
  <c r="AA27" i="10"/>
  <c r="E36" i="1"/>
  <c r="M37" i="1"/>
  <c r="P39" i="6"/>
  <c r="L38" i="10"/>
  <c r="P45" i="6"/>
  <c r="L44" i="10"/>
  <c r="M21" i="3"/>
  <c r="M15" i="3"/>
  <c r="M26" i="3"/>
  <c r="M10" i="3"/>
  <c r="M51" i="3" s="1"/>
  <c r="M10" i="2"/>
  <c r="M26" i="2"/>
  <c r="K51" i="8"/>
  <c r="H51" i="3"/>
  <c r="I51" i="3"/>
  <c r="O51" i="3"/>
  <c r="N51" i="3"/>
  <c r="B51" i="3"/>
  <c r="F51" i="3"/>
  <c r="K51" i="3"/>
  <c r="D51" i="2"/>
  <c r="K51" i="2"/>
  <c r="B51" i="2"/>
  <c r="G51" i="2"/>
  <c r="L51" i="2"/>
  <c r="D51" i="1"/>
  <c r="I51" i="1"/>
  <c r="O51" i="1"/>
  <c r="U51" i="1"/>
  <c r="S51" i="1"/>
  <c r="M7" i="8"/>
  <c r="B51" i="8"/>
  <c r="G51" i="8"/>
  <c r="N51" i="8"/>
  <c r="E50" i="8"/>
  <c r="H51" i="8"/>
  <c r="E21" i="8"/>
  <c r="M50" i="8"/>
  <c r="D51" i="8"/>
  <c r="I51" i="8"/>
  <c r="M15" i="8"/>
  <c r="M21" i="8"/>
  <c r="E26" i="8"/>
  <c r="M10" i="8"/>
  <c r="E36" i="8"/>
  <c r="C51" i="8"/>
  <c r="L21" i="8"/>
  <c r="L36" i="8"/>
  <c r="V21" i="1"/>
  <c r="N51" i="1"/>
  <c r="P51" i="1"/>
  <c r="B51" i="1"/>
  <c r="G51" i="1"/>
  <c r="L51" i="1"/>
  <c r="R51" i="1"/>
  <c r="C51" i="1"/>
  <c r="H51" i="1"/>
  <c r="E11" i="8"/>
  <c r="E15" i="8" s="1"/>
  <c r="F15" i="8"/>
  <c r="F51" i="8" s="1"/>
  <c r="F51" i="2"/>
  <c r="E51" i="2"/>
  <c r="M20" i="2"/>
  <c r="M21" i="2" s="1"/>
  <c r="F50" i="2"/>
  <c r="E51" i="3"/>
  <c r="F21" i="1"/>
  <c r="F51" i="1" s="1"/>
  <c r="AA10" i="1"/>
  <c r="AA51" i="1" s="1"/>
  <c r="Z50" i="10" l="1"/>
  <c r="AA11" i="10"/>
  <c r="U10" i="10"/>
  <c r="E10" i="10"/>
  <c r="AA6" i="10"/>
  <c r="AA14" i="10"/>
  <c r="AA9" i="10"/>
  <c r="D10" i="10"/>
  <c r="U21" i="10"/>
  <c r="AA48" i="10"/>
  <c r="AA46" i="10"/>
  <c r="AA44" i="10"/>
  <c r="AA42" i="10"/>
  <c r="AA40" i="10"/>
  <c r="AA38" i="10"/>
  <c r="H51" i="10"/>
  <c r="I34" i="10"/>
  <c r="M34" i="10" s="1"/>
  <c r="W21" i="10"/>
  <c r="AA8" i="10"/>
  <c r="E34" i="10"/>
  <c r="E36" i="10" s="1"/>
  <c r="AA35" i="10"/>
  <c r="AA33" i="10"/>
  <c r="AA31" i="10"/>
  <c r="AA29" i="10"/>
  <c r="AA24" i="10"/>
  <c r="V21" i="10"/>
  <c r="E13" i="10"/>
  <c r="E15" i="10" s="1"/>
  <c r="R26" i="10"/>
  <c r="R50" i="10"/>
  <c r="W26" i="10"/>
  <c r="R15" i="10"/>
  <c r="M51" i="2"/>
  <c r="R36" i="10"/>
  <c r="Z36" i="10"/>
  <c r="B21" i="10"/>
  <c r="AA13" i="10"/>
  <c r="AA19" i="10"/>
  <c r="AA25" i="10"/>
  <c r="AA23" i="10"/>
  <c r="AA49" i="10"/>
  <c r="AA47" i="10"/>
  <c r="AA45" i="10"/>
  <c r="AA43" i="10"/>
  <c r="AA41" i="10"/>
  <c r="AA39" i="10"/>
  <c r="B51" i="10"/>
  <c r="AA17" i="10"/>
  <c r="W15" i="10"/>
  <c r="AA20" i="10"/>
  <c r="AA18" i="10"/>
  <c r="AA12" i="10"/>
  <c r="AA15" i="10" s="1"/>
  <c r="AA7" i="10"/>
  <c r="W50" i="10"/>
  <c r="M21" i="1"/>
  <c r="Z15" i="10"/>
  <c r="AA34" i="10"/>
  <c r="AA32" i="10"/>
  <c r="AA30" i="10"/>
  <c r="AA28" i="10"/>
  <c r="W10" i="10"/>
  <c r="R10" i="10"/>
  <c r="V51" i="1"/>
  <c r="E51" i="1"/>
  <c r="AA37" i="10"/>
  <c r="R21" i="10"/>
  <c r="W36" i="10"/>
  <c r="E17" i="10"/>
  <c r="M50" i="1"/>
  <c r="P38" i="6"/>
  <c r="L37" i="10"/>
  <c r="V22" i="10"/>
  <c r="V26" i="10" s="1"/>
  <c r="U26" i="10"/>
  <c r="L21" i="10"/>
  <c r="V10" i="10"/>
  <c r="AD26" i="10"/>
  <c r="AE22" i="10"/>
  <c r="AE26" i="10" s="1"/>
  <c r="AD36" i="10"/>
  <c r="AE27" i="10"/>
  <c r="AE36" i="10" s="1"/>
  <c r="E37" i="10"/>
  <c r="E50" i="10" s="1"/>
  <c r="D50" i="10"/>
  <c r="Z21" i="10"/>
  <c r="AA16" i="10"/>
  <c r="AD50" i="10"/>
  <c r="AE37" i="10"/>
  <c r="AE50" i="10" s="1"/>
  <c r="L26" i="10"/>
  <c r="E22" i="10"/>
  <c r="E26" i="10" s="1"/>
  <c r="D26" i="10"/>
  <c r="M51" i="1"/>
  <c r="V27" i="10"/>
  <c r="V36" i="10" s="1"/>
  <c r="U36" i="10"/>
  <c r="L15" i="10"/>
  <c r="U50" i="10"/>
  <c r="V37" i="10"/>
  <c r="V50" i="10" s="1"/>
  <c r="L36" i="10"/>
  <c r="AD10" i="10"/>
  <c r="AE8" i="10"/>
  <c r="AE10" i="10" s="1"/>
  <c r="Z26" i="10"/>
  <c r="AA22" i="10"/>
  <c r="V11" i="10"/>
  <c r="V15" i="10" s="1"/>
  <c r="U15" i="10"/>
  <c r="U51" i="10" s="1"/>
  <c r="E16" i="10"/>
  <c r="D21" i="10"/>
  <c r="L10" i="10"/>
  <c r="AD15" i="10"/>
  <c r="AE11" i="10"/>
  <c r="AE15" i="10" s="1"/>
  <c r="AD21" i="10"/>
  <c r="AE16" i="10"/>
  <c r="AE21" i="10" s="1"/>
  <c r="L51" i="8"/>
  <c r="M51" i="8"/>
  <c r="E51" i="8"/>
  <c r="O50" i="7"/>
  <c r="N50" i="7"/>
  <c r="L50" i="7"/>
  <c r="K50" i="7"/>
  <c r="I50" i="7"/>
  <c r="H50" i="7"/>
  <c r="G50" i="7"/>
  <c r="F50" i="7"/>
  <c r="D50" i="7"/>
  <c r="C50" i="7"/>
  <c r="B50" i="7"/>
  <c r="M49" i="7"/>
  <c r="I49" i="10" s="1"/>
  <c r="M49" i="10" s="1"/>
  <c r="E49" i="7"/>
  <c r="M48" i="7"/>
  <c r="I48" i="10" s="1"/>
  <c r="M48" i="10" s="1"/>
  <c r="E48" i="7"/>
  <c r="M47" i="7"/>
  <c r="I47" i="10" s="1"/>
  <c r="M47" i="10" s="1"/>
  <c r="E47" i="7"/>
  <c r="M46" i="7"/>
  <c r="I46" i="10" s="1"/>
  <c r="M46" i="10" s="1"/>
  <c r="E46" i="7"/>
  <c r="M45" i="7"/>
  <c r="I45" i="10" s="1"/>
  <c r="M45" i="10" s="1"/>
  <c r="E45" i="7"/>
  <c r="M44" i="7"/>
  <c r="I44" i="10" s="1"/>
  <c r="M44" i="10" s="1"/>
  <c r="E44" i="7"/>
  <c r="M43" i="7"/>
  <c r="I43" i="10" s="1"/>
  <c r="M43" i="10" s="1"/>
  <c r="E43" i="7"/>
  <c r="M42" i="7"/>
  <c r="I42" i="10" s="1"/>
  <c r="M42" i="10" s="1"/>
  <c r="E42" i="7"/>
  <c r="M41" i="7"/>
  <c r="I41" i="10" s="1"/>
  <c r="M41" i="10" s="1"/>
  <c r="E41" i="7"/>
  <c r="M40" i="7"/>
  <c r="I40" i="10" s="1"/>
  <c r="M40" i="10" s="1"/>
  <c r="E40" i="7"/>
  <c r="M39" i="7"/>
  <c r="I39" i="10" s="1"/>
  <c r="M39" i="10" s="1"/>
  <c r="E39" i="7"/>
  <c r="M38" i="7"/>
  <c r="I38" i="10" s="1"/>
  <c r="M38" i="10" s="1"/>
  <c r="E38" i="7"/>
  <c r="M37" i="7"/>
  <c r="I37" i="10" s="1"/>
  <c r="I50" i="10" s="1"/>
  <c r="E37" i="7"/>
  <c r="E50" i="7" s="1"/>
  <c r="O36" i="7"/>
  <c r="N36" i="7"/>
  <c r="L36" i="7"/>
  <c r="K36" i="7"/>
  <c r="I36" i="7"/>
  <c r="H36" i="7"/>
  <c r="G36" i="7"/>
  <c r="F36" i="7"/>
  <c r="D36" i="7"/>
  <c r="C36" i="7"/>
  <c r="B36" i="7"/>
  <c r="M35" i="7"/>
  <c r="I35" i="10" s="1"/>
  <c r="M35" i="10" s="1"/>
  <c r="E35" i="7"/>
  <c r="M34" i="7"/>
  <c r="E34" i="7"/>
  <c r="M33" i="7"/>
  <c r="I33" i="10" s="1"/>
  <c r="M33" i="10" s="1"/>
  <c r="E33" i="7"/>
  <c r="M32" i="7"/>
  <c r="I32" i="10" s="1"/>
  <c r="M32" i="10" s="1"/>
  <c r="E32" i="7"/>
  <c r="M31" i="7"/>
  <c r="I31" i="10" s="1"/>
  <c r="M31" i="10" s="1"/>
  <c r="E31" i="7"/>
  <c r="M30" i="7"/>
  <c r="I30" i="10" s="1"/>
  <c r="M30" i="10" s="1"/>
  <c r="E30" i="7"/>
  <c r="M29" i="7"/>
  <c r="I29" i="10" s="1"/>
  <c r="E29" i="7"/>
  <c r="M28" i="7"/>
  <c r="I28" i="10" s="1"/>
  <c r="M28" i="10" s="1"/>
  <c r="E28" i="7"/>
  <c r="M27" i="7"/>
  <c r="I27" i="10" s="1"/>
  <c r="M27" i="10" s="1"/>
  <c r="E27" i="7"/>
  <c r="E36" i="7" s="1"/>
  <c r="O26" i="7"/>
  <c r="N26" i="7"/>
  <c r="L26" i="7"/>
  <c r="K26" i="7"/>
  <c r="I26" i="7"/>
  <c r="H26" i="7"/>
  <c r="G26" i="7"/>
  <c r="F26" i="7"/>
  <c r="D26" i="7"/>
  <c r="C26" i="7"/>
  <c r="B26" i="7"/>
  <c r="M25" i="7"/>
  <c r="I25" i="10" s="1"/>
  <c r="M25" i="10" s="1"/>
  <c r="E25" i="7"/>
  <c r="M24" i="7"/>
  <c r="I24" i="10" s="1"/>
  <c r="M24" i="10" s="1"/>
  <c r="E24" i="7"/>
  <c r="M23" i="7"/>
  <c r="I23" i="10" s="1"/>
  <c r="E23" i="7"/>
  <c r="M22" i="7"/>
  <c r="I22" i="10" s="1"/>
  <c r="M22" i="10" s="1"/>
  <c r="E22" i="7"/>
  <c r="O21" i="7"/>
  <c r="N21" i="7"/>
  <c r="L21" i="7"/>
  <c r="K21" i="7"/>
  <c r="I21" i="7"/>
  <c r="H21" i="7"/>
  <c r="G21" i="7"/>
  <c r="F21" i="7"/>
  <c r="D21" i="7"/>
  <c r="C21" i="7"/>
  <c r="B21" i="7"/>
  <c r="M20" i="7"/>
  <c r="I20" i="10" s="1"/>
  <c r="E20" i="7"/>
  <c r="M19" i="7"/>
  <c r="I19" i="10" s="1"/>
  <c r="M19" i="10" s="1"/>
  <c r="E19" i="7"/>
  <c r="M18" i="7"/>
  <c r="I18" i="10" s="1"/>
  <c r="M18" i="10" s="1"/>
  <c r="E18" i="7"/>
  <c r="M17" i="7"/>
  <c r="E17" i="7"/>
  <c r="M16" i="7"/>
  <c r="I16" i="10" s="1"/>
  <c r="M16" i="10" s="1"/>
  <c r="E16" i="7"/>
  <c r="E21" i="7" s="1"/>
  <c r="O15" i="7"/>
  <c r="N15" i="7"/>
  <c r="L15" i="7"/>
  <c r="K15" i="7"/>
  <c r="I15" i="7"/>
  <c r="H15" i="7"/>
  <c r="G15" i="7"/>
  <c r="F15" i="7"/>
  <c r="D15" i="7"/>
  <c r="C15" i="7"/>
  <c r="B15" i="7"/>
  <c r="M14" i="7"/>
  <c r="I14" i="10" s="1"/>
  <c r="M14" i="10" s="1"/>
  <c r="E14" i="7"/>
  <c r="M13" i="7"/>
  <c r="I13" i="10" s="1"/>
  <c r="E13" i="7"/>
  <c r="M12" i="7"/>
  <c r="I12" i="10" s="1"/>
  <c r="M12" i="10" s="1"/>
  <c r="E12" i="7"/>
  <c r="M11" i="7"/>
  <c r="E11" i="7"/>
  <c r="O10" i="7"/>
  <c r="N10" i="7"/>
  <c r="L10" i="7"/>
  <c r="K10" i="7"/>
  <c r="I10" i="7"/>
  <c r="H10" i="7"/>
  <c r="G10" i="7"/>
  <c r="F10" i="7"/>
  <c r="D10" i="7"/>
  <c r="C10" i="7"/>
  <c r="B10" i="7"/>
  <c r="M9" i="7"/>
  <c r="I9" i="10" s="1"/>
  <c r="M9" i="10" s="1"/>
  <c r="E9" i="7"/>
  <c r="M8" i="7"/>
  <c r="I8" i="10" s="1"/>
  <c r="M8" i="10" s="1"/>
  <c r="E8" i="7"/>
  <c r="M7" i="7"/>
  <c r="I7" i="10" s="1"/>
  <c r="E7" i="7"/>
  <c r="M6" i="7"/>
  <c r="E6" i="7"/>
  <c r="E21" i="10" l="1"/>
  <c r="I26" i="10"/>
  <c r="I36" i="10"/>
  <c r="M7" i="10"/>
  <c r="M20" i="10"/>
  <c r="B51" i="7"/>
  <c r="M15" i="7"/>
  <c r="I11" i="10"/>
  <c r="M11" i="10" s="1"/>
  <c r="M23" i="10"/>
  <c r="M26" i="10" s="1"/>
  <c r="E26" i="7"/>
  <c r="E10" i="7"/>
  <c r="M10" i="7"/>
  <c r="I6" i="10"/>
  <c r="M6" i="10" s="1"/>
  <c r="C51" i="7"/>
  <c r="H51" i="7"/>
  <c r="N51" i="7"/>
  <c r="E15" i="7"/>
  <c r="M21" i="7"/>
  <c r="AA26" i="10"/>
  <c r="M13" i="10"/>
  <c r="D51" i="7"/>
  <c r="I51" i="7"/>
  <c r="O51" i="7"/>
  <c r="AA10" i="10"/>
  <c r="I17" i="10"/>
  <c r="M17" i="10" s="1"/>
  <c r="M21" i="10" s="1"/>
  <c r="R51" i="10"/>
  <c r="M29" i="10"/>
  <c r="M36" i="10" s="1"/>
  <c r="E51" i="10"/>
  <c r="Z51" i="10"/>
  <c r="AA36" i="10"/>
  <c r="AA50" i="10"/>
  <c r="W51" i="10"/>
  <c r="AA21" i="10"/>
  <c r="V51" i="10"/>
  <c r="AE51" i="10"/>
  <c r="AD51" i="10"/>
  <c r="D51" i="10"/>
  <c r="M37" i="10"/>
  <c r="M50" i="10" s="1"/>
  <c r="L50" i="10"/>
  <c r="L51" i="10" s="1"/>
  <c r="M50" i="7"/>
  <c r="M26" i="7"/>
  <c r="M36" i="7"/>
  <c r="F51" i="7"/>
  <c r="E51" i="7"/>
  <c r="G51" i="7"/>
  <c r="L51" i="7"/>
  <c r="K51" i="7"/>
  <c r="M51" i="7"/>
  <c r="O49" i="9"/>
  <c r="L49" i="9"/>
  <c r="I49" i="9"/>
  <c r="F49" i="9"/>
  <c r="C49" i="9"/>
  <c r="M15" i="10" l="1"/>
  <c r="I15" i="10"/>
  <c r="M10" i="10"/>
  <c r="M51" i="10" s="1"/>
  <c r="I21" i="10"/>
  <c r="I10" i="10"/>
  <c r="AA51" i="10"/>
  <c r="I51" i="10" l="1"/>
  <c r="P11" i="6"/>
  <c r="P22" i="6"/>
  <c r="P27" i="6"/>
  <c r="F51" i="6" l="1"/>
  <c r="N49" i="9" l="1"/>
  <c r="N48" i="9"/>
  <c r="N47" i="9"/>
  <c r="N46" i="9"/>
  <c r="N45" i="9"/>
  <c r="N44" i="9"/>
  <c r="N43" i="9"/>
  <c r="N42" i="9"/>
  <c r="N41" i="9"/>
  <c r="N40" i="9"/>
  <c r="N39" i="9"/>
  <c r="N38" i="9"/>
  <c r="N35" i="9"/>
  <c r="N34" i="9"/>
  <c r="N33" i="9"/>
  <c r="N32" i="9"/>
  <c r="N31" i="9"/>
  <c r="N30" i="9"/>
  <c r="N29" i="9"/>
  <c r="N28" i="9"/>
  <c r="N27" i="9"/>
  <c r="N25" i="9"/>
  <c r="N24" i="9"/>
  <c r="N23" i="9"/>
  <c r="N22" i="9"/>
  <c r="N20" i="9"/>
  <c r="N19" i="9"/>
  <c r="N18" i="9"/>
  <c r="N17" i="9"/>
  <c r="N14" i="9"/>
  <c r="N13" i="9"/>
  <c r="N12" i="9"/>
  <c r="N9" i="9"/>
  <c r="N8" i="9"/>
  <c r="N7" i="9"/>
  <c r="N6" i="9"/>
  <c r="N26" i="9" l="1"/>
  <c r="N36" i="9"/>
  <c r="N10" i="9"/>
  <c r="N37" i="9"/>
  <c r="N50" i="9" s="1"/>
  <c r="N11" i="9"/>
  <c r="N15" i="9" s="1"/>
  <c r="N16" i="9"/>
  <c r="N21" i="9" s="1"/>
  <c r="N51" i="9" l="1"/>
  <c r="P51" i="6"/>
  <c r="K49" i="9" l="1"/>
  <c r="K38" i="9"/>
  <c r="K39" i="9"/>
  <c r="K40" i="9"/>
  <c r="K41" i="9"/>
  <c r="K42" i="9"/>
  <c r="K43" i="9"/>
  <c r="K44" i="9"/>
  <c r="K45" i="9"/>
  <c r="K46" i="9"/>
  <c r="K47" i="9"/>
  <c r="K48" i="9"/>
  <c r="K37" i="9"/>
  <c r="K28" i="9"/>
  <c r="K29" i="9"/>
  <c r="K30" i="9"/>
  <c r="K31" i="9"/>
  <c r="K32" i="9"/>
  <c r="K33" i="9"/>
  <c r="K34" i="9"/>
  <c r="K35" i="9"/>
  <c r="K27" i="9"/>
  <c r="K23" i="9"/>
  <c r="K24" i="9"/>
  <c r="K25" i="9"/>
  <c r="K22" i="9"/>
  <c r="K17" i="9"/>
  <c r="K18" i="9"/>
  <c r="K19" i="9"/>
  <c r="K20" i="9"/>
  <c r="K16" i="9"/>
  <c r="K12" i="9"/>
  <c r="K13" i="9"/>
  <c r="K14" i="9"/>
  <c r="K11" i="9"/>
  <c r="K7" i="9"/>
  <c r="K8" i="9"/>
  <c r="K9" i="9"/>
  <c r="K6" i="9"/>
  <c r="Q22" i="6" l="1"/>
  <c r="Q16" i="6"/>
  <c r="K26" i="9"/>
  <c r="K50" i="9"/>
  <c r="K15" i="9"/>
  <c r="K36" i="9"/>
  <c r="K21" i="9"/>
  <c r="K10" i="9"/>
  <c r="K51" i="9" l="1"/>
  <c r="K40" i="6" l="1"/>
  <c r="K42" i="6"/>
  <c r="K43" i="6"/>
  <c r="K45" i="6"/>
  <c r="K46" i="6"/>
  <c r="K47" i="6"/>
  <c r="K48" i="6"/>
  <c r="K49" i="6"/>
  <c r="H51" i="6"/>
  <c r="K24" i="6"/>
  <c r="K23" i="6"/>
  <c r="H6" i="9"/>
  <c r="H7" i="9"/>
  <c r="H8" i="9"/>
  <c r="H9" i="9"/>
  <c r="H11" i="9"/>
  <c r="H12" i="9"/>
  <c r="H14" i="9"/>
  <c r="H16" i="9"/>
  <c r="H17" i="9"/>
  <c r="H18" i="9"/>
  <c r="H19" i="9"/>
  <c r="H20" i="9"/>
  <c r="H23" i="9"/>
  <c r="H24" i="9"/>
  <c r="H25" i="9"/>
  <c r="H28" i="9"/>
  <c r="H29" i="9"/>
  <c r="H30" i="9"/>
  <c r="H31" i="9"/>
  <c r="H32" i="9"/>
  <c r="H33" i="9"/>
  <c r="H34" i="9"/>
  <c r="H35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E6" i="9"/>
  <c r="E7" i="9"/>
  <c r="E8" i="9"/>
  <c r="E9" i="9"/>
  <c r="E11" i="9"/>
  <c r="E12" i="9"/>
  <c r="E13" i="9"/>
  <c r="E14" i="9"/>
  <c r="E17" i="9"/>
  <c r="E18" i="9"/>
  <c r="E19" i="9"/>
  <c r="E20" i="9"/>
  <c r="E23" i="9"/>
  <c r="E24" i="9"/>
  <c r="E25" i="9"/>
  <c r="E27" i="9"/>
  <c r="E28" i="9"/>
  <c r="E29" i="9"/>
  <c r="E30" i="9"/>
  <c r="E31" i="9"/>
  <c r="E32" i="9"/>
  <c r="E33" i="9"/>
  <c r="E34" i="9"/>
  <c r="E35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G27" i="6" l="1"/>
  <c r="G37" i="6"/>
  <c r="E15" i="9"/>
  <c r="H22" i="6"/>
  <c r="H16" i="6"/>
  <c r="H50" i="9"/>
  <c r="H21" i="9"/>
  <c r="J27" i="6"/>
  <c r="J37" i="6"/>
  <c r="J51" i="6"/>
  <c r="E22" i="9"/>
  <c r="E26" i="9" s="1"/>
  <c r="E16" i="9"/>
  <c r="E21" i="9" s="1"/>
  <c r="J16" i="6"/>
  <c r="J22" i="6"/>
  <c r="F27" i="6"/>
  <c r="Q27" i="6"/>
  <c r="F37" i="6"/>
  <c r="Q37" i="6"/>
  <c r="Q51" i="6"/>
  <c r="E36" i="9"/>
  <c r="H27" i="9"/>
  <c r="H36" i="9" s="1"/>
  <c r="H22" i="9"/>
  <c r="H26" i="9" s="1"/>
  <c r="Q11" i="6"/>
  <c r="F16" i="6"/>
  <c r="F22" i="6"/>
  <c r="G51" i="6"/>
  <c r="E10" i="9"/>
  <c r="E50" i="9"/>
  <c r="H13" i="9"/>
  <c r="H15" i="9" s="1"/>
  <c r="H10" i="9"/>
  <c r="G16" i="6"/>
  <c r="G22" i="6"/>
  <c r="H27" i="6"/>
  <c r="H37" i="6"/>
  <c r="I15" i="6"/>
  <c r="I14" i="6"/>
  <c r="I31" i="6"/>
  <c r="I30" i="6"/>
  <c r="I35" i="6"/>
  <c r="I33" i="6"/>
  <c r="I10" i="6"/>
  <c r="I13" i="6"/>
  <c r="I23" i="6"/>
  <c r="I29" i="6"/>
  <c r="I18" i="6"/>
  <c r="I24" i="6"/>
  <c r="I9" i="6"/>
  <c r="I20" i="6"/>
  <c r="I26" i="6"/>
  <c r="I21" i="6"/>
  <c r="I19" i="6"/>
  <c r="I25" i="6"/>
  <c r="I34" i="6"/>
  <c r="I32" i="6"/>
  <c r="I36" i="6"/>
  <c r="I28" i="6"/>
  <c r="I17" i="6"/>
  <c r="I12" i="6"/>
  <c r="R23" i="6" l="1"/>
  <c r="L23" i="6"/>
  <c r="M23" i="6"/>
  <c r="R32" i="6"/>
  <c r="L32" i="6"/>
  <c r="M32" i="6"/>
  <c r="R21" i="6"/>
  <c r="L21" i="6"/>
  <c r="K21" i="6" s="1"/>
  <c r="M21" i="6"/>
  <c r="R24" i="6"/>
  <c r="M24" i="6"/>
  <c r="R13" i="6"/>
  <c r="L13" i="6"/>
  <c r="M13" i="6"/>
  <c r="R30" i="6"/>
  <c r="L30" i="6"/>
  <c r="M30" i="6"/>
  <c r="R36" i="6"/>
  <c r="L36" i="6"/>
  <c r="M36" i="6"/>
  <c r="R9" i="6"/>
  <c r="L9" i="6"/>
  <c r="M9" i="6"/>
  <c r="R35" i="6"/>
  <c r="L35" i="6"/>
  <c r="M35" i="6"/>
  <c r="R15" i="6"/>
  <c r="L15" i="6"/>
  <c r="M15" i="6"/>
  <c r="R34" i="6"/>
  <c r="L34" i="6"/>
  <c r="K34" i="6" s="1"/>
  <c r="M34" i="6"/>
  <c r="R18" i="6"/>
  <c r="L18" i="6"/>
  <c r="M18" i="6"/>
  <c r="R10" i="6"/>
  <c r="L10" i="6"/>
  <c r="M10" i="6"/>
  <c r="R31" i="6"/>
  <c r="L31" i="6"/>
  <c r="M31" i="6"/>
  <c r="R19" i="6"/>
  <c r="L19" i="6"/>
  <c r="M19" i="6"/>
  <c r="R12" i="6"/>
  <c r="L12" i="6"/>
  <c r="M12" i="6"/>
  <c r="R17" i="6"/>
  <c r="L17" i="6"/>
  <c r="K17" i="6" s="1"/>
  <c r="M17" i="6"/>
  <c r="R26" i="6"/>
  <c r="L26" i="6"/>
  <c r="K26" i="6" s="1"/>
  <c r="M26" i="6"/>
  <c r="R28" i="6"/>
  <c r="L28" i="6"/>
  <c r="K28" i="6" s="1"/>
  <c r="M28" i="6"/>
  <c r="R25" i="6"/>
  <c r="L25" i="6"/>
  <c r="M25" i="6"/>
  <c r="R20" i="6"/>
  <c r="L20" i="6"/>
  <c r="M20" i="6"/>
  <c r="R29" i="6"/>
  <c r="L29" i="6"/>
  <c r="K29" i="6" s="1"/>
  <c r="M29" i="6"/>
  <c r="R33" i="6"/>
  <c r="L33" i="6"/>
  <c r="M33" i="6"/>
  <c r="R14" i="6"/>
  <c r="L14" i="6"/>
  <c r="M14" i="6"/>
  <c r="Y51" i="6"/>
  <c r="Y37" i="6"/>
  <c r="Y27" i="6"/>
  <c r="Y16" i="6"/>
  <c r="Y22" i="6"/>
  <c r="Y11" i="6"/>
  <c r="K30" i="6"/>
  <c r="K10" i="6"/>
  <c r="K31" i="6"/>
  <c r="K25" i="6"/>
  <c r="K20" i="6"/>
  <c r="K33" i="6"/>
  <c r="K14" i="6"/>
  <c r="K12" i="6"/>
  <c r="K32" i="6"/>
  <c r="K13" i="6"/>
  <c r="K36" i="6"/>
  <c r="K19" i="6"/>
  <c r="K9" i="6"/>
  <c r="K35" i="6"/>
  <c r="K15" i="6"/>
  <c r="K18" i="6"/>
  <c r="H51" i="9"/>
  <c r="E51" i="9"/>
  <c r="I27" i="6"/>
  <c r="X12" i="6"/>
  <c r="P16" i="6"/>
  <c r="X9" i="6"/>
  <c r="X50" i="6"/>
  <c r="X42" i="6"/>
  <c r="X13" i="6"/>
  <c r="X32" i="6"/>
  <c r="X47" i="6"/>
  <c r="X39" i="6"/>
  <c r="X17" i="6"/>
  <c r="X15" i="6"/>
  <c r="X48" i="6"/>
  <c r="X40" i="6"/>
  <c r="X19" i="6"/>
  <c r="X23" i="6"/>
  <c r="X28" i="6"/>
  <c r="X30" i="6"/>
  <c r="X8" i="6"/>
  <c r="X14" i="6"/>
  <c r="X45" i="6"/>
  <c r="X46" i="6"/>
  <c r="X36" i="6"/>
  <c r="X21" i="6"/>
  <c r="X20" i="6"/>
  <c r="X24" i="6"/>
  <c r="X29" i="6"/>
  <c r="X43" i="6"/>
  <c r="X7" i="6"/>
  <c r="X44" i="6"/>
  <c r="X34" i="6"/>
  <c r="X33" i="6"/>
  <c r="X25" i="6"/>
  <c r="X35" i="6"/>
  <c r="X26" i="6"/>
  <c r="X10" i="6"/>
  <c r="X18" i="6"/>
  <c r="X49" i="6"/>
  <c r="X41" i="6"/>
  <c r="X38" i="6"/>
  <c r="I16" i="6"/>
  <c r="X31" i="6"/>
  <c r="P37" i="6"/>
  <c r="I22" i="6"/>
  <c r="I37" i="6"/>
  <c r="Q52" i="6"/>
  <c r="B9" i="9"/>
  <c r="B8" i="9"/>
  <c r="B11" i="9"/>
  <c r="M37" i="6" l="1"/>
  <c r="L37" i="6"/>
  <c r="M16" i="6"/>
  <c r="M27" i="6"/>
  <c r="M22" i="6"/>
  <c r="L16" i="6"/>
  <c r="L27" i="6"/>
  <c r="L22" i="6"/>
  <c r="K27" i="6"/>
  <c r="K16" i="6"/>
  <c r="K37" i="6"/>
  <c r="K22" i="6"/>
  <c r="P52" i="6"/>
  <c r="S8" i="6"/>
  <c r="F11" i="6"/>
  <c r="F52" i="6" s="1"/>
  <c r="X37" i="6"/>
  <c r="X11" i="6"/>
  <c r="X22" i="6"/>
  <c r="X51" i="6"/>
  <c r="X27" i="6"/>
  <c r="S7" i="6"/>
  <c r="S19" i="6"/>
  <c r="J11" i="6"/>
  <c r="S24" i="6"/>
  <c r="S49" i="6"/>
  <c r="S45" i="6"/>
  <c r="S41" i="6"/>
  <c r="S36" i="6"/>
  <c r="S32" i="6"/>
  <c r="S50" i="6"/>
  <c r="S46" i="6"/>
  <c r="S42" i="6"/>
  <c r="S28" i="6"/>
  <c r="S47" i="6"/>
  <c r="S39" i="6"/>
  <c r="S44" i="6"/>
  <c r="S35" i="6"/>
  <c r="S31" i="6"/>
  <c r="S38" i="6"/>
  <c r="S17" i="6"/>
  <c r="S14" i="6"/>
  <c r="S20" i="6"/>
  <c r="S25" i="6"/>
  <c r="S18" i="6"/>
  <c r="S34" i="6"/>
  <c r="S30" i="6"/>
  <c r="S43" i="6"/>
  <c r="S23" i="6"/>
  <c r="S10" i="6"/>
  <c r="S12" i="6"/>
  <c r="S9" i="6"/>
  <c r="S15" i="6"/>
  <c r="S13" i="6"/>
  <c r="S21" i="6"/>
  <c r="S33" i="6"/>
  <c r="S29" i="6"/>
  <c r="S26" i="6"/>
  <c r="S48" i="6"/>
  <c r="S40" i="6"/>
  <c r="R16" i="6"/>
  <c r="H11" i="6"/>
  <c r="H52" i="6" s="1"/>
  <c r="R37" i="6"/>
  <c r="G11" i="6"/>
  <c r="G52" i="6" s="1"/>
  <c r="R22" i="6"/>
  <c r="X16" i="6"/>
  <c r="R27" i="6"/>
  <c r="I7" i="6"/>
  <c r="I8" i="6"/>
  <c r="R7" i="6" l="1"/>
  <c r="L7" i="6"/>
  <c r="M7" i="6"/>
  <c r="R8" i="6"/>
  <c r="L8" i="6"/>
  <c r="K8" i="6" s="1"/>
  <c r="M8" i="6"/>
  <c r="K7" i="6"/>
  <c r="S11" i="6"/>
  <c r="J52" i="6"/>
  <c r="S37" i="6"/>
  <c r="S22" i="6"/>
  <c r="S51" i="6"/>
  <c r="S27" i="6"/>
  <c r="S16" i="6"/>
  <c r="I11" i="6"/>
  <c r="M11" i="6" l="1"/>
  <c r="L11" i="6"/>
  <c r="K11" i="6"/>
  <c r="R11" i="6"/>
  <c r="I50" i="6" l="1"/>
  <c r="B23" i="9"/>
  <c r="B24" i="9"/>
  <c r="B25" i="9"/>
  <c r="B17" i="9"/>
  <c r="B18" i="9"/>
  <c r="B19" i="9"/>
  <c r="B20" i="9"/>
  <c r="B7" i="9"/>
  <c r="B12" i="9"/>
  <c r="B13" i="9"/>
  <c r="B14" i="9"/>
  <c r="R50" i="6" l="1"/>
  <c r="L50" i="6"/>
  <c r="M50" i="6"/>
  <c r="K50" i="6"/>
  <c r="B15" i="9"/>
  <c r="O16" i="6" l="1"/>
  <c r="N16" i="6"/>
  <c r="N22" i="6"/>
  <c r="O22" i="6"/>
  <c r="I49" i="6"/>
  <c r="I48" i="6"/>
  <c r="I44" i="6"/>
  <c r="I40" i="6"/>
  <c r="I41" i="6"/>
  <c r="I43" i="6"/>
  <c r="I39" i="6"/>
  <c r="I45" i="6"/>
  <c r="I47" i="6"/>
  <c r="I46" i="6"/>
  <c r="I42" i="6"/>
  <c r="R45" i="6" l="1"/>
  <c r="L45" i="6"/>
  <c r="M45" i="6"/>
  <c r="R40" i="6"/>
  <c r="L40" i="6"/>
  <c r="M40" i="6"/>
  <c r="R39" i="6"/>
  <c r="L39" i="6"/>
  <c r="M39" i="6"/>
  <c r="R44" i="6"/>
  <c r="L44" i="6"/>
  <c r="K44" i="6" s="1"/>
  <c r="M44" i="6"/>
  <c r="R46" i="6"/>
  <c r="L46" i="6"/>
  <c r="M46" i="6"/>
  <c r="R43" i="6"/>
  <c r="M43" i="6"/>
  <c r="L43" i="6"/>
  <c r="R48" i="6"/>
  <c r="L48" i="6"/>
  <c r="M48" i="6"/>
  <c r="R42" i="6"/>
  <c r="L42" i="6"/>
  <c r="M42" i="6"/>
  <c r="R47" i="6"/>
  <c r="L47" i="6"/>
  <c r="M47" i="6"/>
  <c r="R41" i="6"/>
  <c r="L41" i="6"/>
  <c r="M41" i="6"/>
  <c r="R49" i="6"/>
  <c r="M49" i="6"/>
  <c r="L49" i="6"/>
  <c r="K39" i="6"/>
  <c r="K41" i="6"/>
  <c r="O37" i="6"/>
  <c r="O27" i="6"/>
  <c r="O51" i="6"/>
  <c r="N51" i="6"/>
  <c r="N37" i="6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5" i="9"/>
  <c r="B34" i="9"/>
  <c r="B33" i="9"/>
  <c r="B32" i="9"/>
  <c r="B31" i="9"/>
  <c r="B30" i="9"/>
  <c r="B29" i="9"/>
  <c r="B28" i="9"/>
  <c r="B27" i="9"/>
  <c r="B22" i="9"/>
  <c r="B26" i="9" s="1"/>
  <c r="B16" i="9"/>
  <c r="B21" i="9" s="1"/>
  <c r="B50" i="9" l="1"/>
  <c r="N52" i="6"/>
  <c r="N11" i="6"/>
  <c r="B36" i="9"/>
  <c r="B6" i="9"/>
  <c r="I38" i="6"/>
  <c r="R38" i="6" l="1"/>
  <c r="Z38" i="6" s="1"/>
  <c r="L38" i="6"/>
  <c r="M38" i="6"/>
  <c r="Z8" i="6"/>
  <c r="Z26" i="6"/>
  <c r="Z28" i="6"/>
  <c r="Z12" i="6"/>
  <c r="Z19" i="6"/>
  <c r="Z31" i="6"/>
  <c r="Z14" i="6"/>
  <c r="Z7" i="6"/>
  <c r="Z9" i="6"/>
  <c r="Z18" i="6"/>
  <c r="Z10" i="6"/>
  <c r="Z33" i="6"/>
  <c r="Z13" i="6"/>
  <c r="Z15" i="6"/>
  <c r="Z20" i="6"/>
  <c r="Z30" i="6"/>
  <c r="Z17" i="6"/>
  <c r="Z34" i="6"/>
  <c r="Z29" i="6"/>
  <c r="Z24" i="6"/>
  <c r="Z36" i="6"/>
  <c r="Z25" i="6"/>
  <c r="Z21" i="6"/>
  <c r="Z35" i="6"/>
  <c r="Z50" i="6"/>
  <c r="Z42" i="6"/>
  <c r="Z48" i="6"/>
  <c r="Z47" i="6"/>
  <c r="Z43" i="6"/>
  <c r="Z39" i="6"/>
  <c r="Z40" i="6"/>
  <c r="Z41" i="6"/>
  <c r="Z45" i="6"/>
  <c r="Z44" i="6"/>
  <c r="Z46" i="6"/>
  <c r="Z49" i="6"/>
  <c r="O11" i="6"/>
  <c r="O52" i="6" s="1"/>
  <c r="K38" i="6"/>
  <c r="I51" i="6"/>
  <c r="I52" i="6" s="1"/>
  <c r="W7" i="6"/>
  <c r="W10" i="6"/>
  <c r="W9" i="6"/>
  <c r="W12" i="6"/>
  <c r="W15" i="6"/>
  <c r="W13" i="6"/>
  <c r="W14" i="6"/>
  <c r="W8" i="6"/>
  <c r="W21" i="6"/>
  <c r="W20" i="6"/>
  <c r="W18" i="6"/>
  <c r="W19" i="6"/>
  <c r="W31" i="6"/>
  <c r="W25" i="6"/>
  <c r="W43" i="6"/>
  <c r="W38" i="6"/>
  <c r="W35" i="6"/>
  <c r="W49" i="6"/>
  <c r="W46" i="6"/>
  <c r="W40" i="6"/>
  <c r="W26" i="6"/>
  <c r="W45" i="6"/>
  <c r="W50" i="6"/>
  <c r="W23" i="6"/>
  <c r="W30" i="6"/>
  <c r="W29" i="6"/>
  <c r="W34" i="6"/>
  <c r="W32" i="6"/>
  <c r="W24" i="6"/>
  <c r="W41" i="6"/>
  <c r="W36" i="6"/>
  <c r="W28" i="6"/>
  <c r="W39" i="6"/>
  <c r="W33" i="6"/>
  <c r="W48" i="6"/>
  <c r="W17" i="6"/>
  <c r="W47" i="6"/>
  <c r="W44" i="6"/>
  <c r="W42" i="6"/>
  <c r="B10" i="9"/>
  <c r="B51" i="9" s="1"/>
  <c r="Z23" i="6" l="1"/>
  <c r="Z32" i="6"/>
  <c r="M51" i="6"/>
  <c r="M52" i="6" s="1"/>
  <c r="L51" i="6"/>
  <c r="L52" i="6" s="1"/>
  <c r="K51" i="6"/>
  <c r="K52" i="6" s="1"/>
  <c r="U38" i="6"/>
  <c r="U8" i="6"/>
  <c r="U31" i="6"/>
  <c r="U48" i="6"/>
  <c r="U46" i="6"/>
  <c r="U43" i="6"/>
  <c r="U15" i="6"/>
  <c r="U29" i="6"/>
  <c r="U14" i="6"/>
  <c r="U26" i="6"/>
  <c r="U30" i="6"/>
  <c r="U24" i="6"/>
  <c r="U50" i="6"/>
  <c r="U40" i="6"/>
  <c r="U45" i="6"/>
  <c r="U49" i="6"/>
  <c r="U17" i="6"/>
  <c r="U32" i="6"/>
  <c r="U25" i="6"/>
  <c r="U23" i="6"/>
  <c r="U12" i="6"/>
  <c r="U21" i="6"/>
  <c r="U13" i="6"/>
  <c r="U42" i="6"/>
  <c r="U47" i="6"/>
  <c r="U44" i="6"/>
  <c r="U9" i="6"/>
  <c r="U33" i="6"/>
  <c r="U18" i="6"/>
  <c r="U7" i="6"/>
  <c r="U39" i="6"/>
  <c r="U35" i="6"/>
  <c r="U34" i="6"/>
  <c r="U20" i="6"/>
  <c r="U36" i="6"/>
  <c r="U19" i="6"/>
  <c r="U28" i="6"/>
  <c r="U10" i="6"/>
  <c r="U41" i="6"/>
  <c r="W11" i="6"/>
  <c r="W16" i="6"/>
  <c r="W27" i="6"/>
  <c r="W51" i="6"/>
  <c r="W37" i="6"/>
  <c r="W22" i="6"/>
  <c r="R51" i="6"/>
  <c r="V38" i="6"/>
  <c r="V32" i="6"/>
  <c r="V33" i="6"/>
  <c r="V34" i="6"/>
  <c r="V15" i="6"/>
  <c r="V25" i="6"/>
  <c r="V14" i="6"/>
  <c r="V26" i="6"/>
  <c r="V36" i="6"/>
  <c r="V28" i="6"/>
  <c r="V12" i="6"/>
  <c r="V30" i="6"/>
  <c r="V19" i="6"/>
  <c r="V8" i="6"/>
  <c r="V7" i="6"/>
  <c r="V29" i="6"/>
  <c r="V18" i="6"/>
  <c r="V17" i="6"/>
  <c r="V9" i="6"/>
  <c r="V23" i="6"/>
  <c r="V20" i="6"/>
  <c r="V31" i="6"/>
  <c r="V13" i="6"/>
  <c r="V35" i="6"/>
  <c r="V21" i="6"/>
  <c r="V24" i="6"/>
  <c r="V10" i="6"/>
  <c r="V50" i="6"/>
  <c r="V43" i="6"/>
  <c r="V48" i="6"/>
  <c r="V45" i="6"/>
  <c r="V39" i="6"/>
  <c r="V41" i="6"/>
  <c r="V49" i="6"/>
  <c r="V46" i="6"/>
  <c r="V44" i="6"/>
  <c r="V47" i="6"/>
  <c r="V40" i="6"/>
  <c r="V42" i="6"/>
  <c r="F44" i="9"/>
  <c r="G44" i="9" s="1"/>
  <c r="C44" i="9"/>
  <c r="D44" i="9" s="1"/>
  <c r="L44" i="9"/>
  <c r="M44" i="9" s="1"/>
  <c r="O44" i="9"/>
  <c r="P44" i="9" s="1"/>
  <c r="I44" i="9"/>
  <c r="J44" i="9" s="1"/>
  <c r="O43" i="9"/>
  <c r="P43" i="9" s="1"/>
  <c r="I43" i="9"/>
  <c r="J43" i="9" s="1"/>
  <c r="F43" i="9"/>
  <c r="G43" i="9" s="1"/>
  <c r="C43" i="9"/>
  <c r="D43" i="9" s="1"/>
  <c r="L43" i="9"/>
  <c r="M43" i="9" s="1"/>
  <c r="R52" i="6" l="1"/>
  <c r="Z37" i="6"/>
  <c r="Z22" i="6"/>
  <c r="Z27" i="6"/>
  <c r="Z11" i="6"/>
  <c r="Z51" i="6"/>
  <c r="Z16" i="6"/>
  <c r="V51" i="6"/>
  <c r="V22" i="6"/>
  <c r="V16" i="6"/>
  <c r="V37" i="6"/>
  <c r="V27" i="6"/>
  <c r="V11" i="6"/>
  <c r="U51" i="6"/>
  <c r="U37" i="6"/>
  <c r="U22" i="6"/>
  <c r="U16" i="6"/>
  <c r="U27" i="6"/>
  <c r="U11" i="6"/>
  <c r="T38" i="6"/>
  <c r="AA38" i="6" s="1"/>
  <c r="T31" i="6"/>
  <c r="AA31" i="6" s="1"/>
  <c r="T50" i="6"/>
  <c r="AA50" i="6" s="1"/>
  <c r="T35" i="6"/>
  <c r="AA35" i="6" s="1"/>
  <c r="T32" i="6"/>
  <c r="AA32" i="6" s="1"/>
  <c r="T9" i="6"/>
  <c r="AA9" i="6" s="1"/>
  <c r="T23" i="6"/>
  <c r="AA23" i="6" s="1"/>
  <c r="T28" i="6"/>
  <c r="AA28" i="6" s="1"/>
  <c r="T20" i="6"/>
  <c r="AA20" i="6" s="1"/>
  <c r="T25" i="6"/>
  <c r="AA25" i="6" s="1"/>
  <c r="T42" i="6"/>
  <c r="AA42" i="6" s="1"/>
  <c r="T41" i="6"/>
  <c r="AA41" i="6" s="1"/>
  <c r="T46" i="6"/>
  <c r="AA46" i="6" s="1"/>
  <c r="T26" i="6"/>
  <c r="AA26" i="6" s="1"/>
  <c r="T12" i="6"/>
  <c r="AA12" i="6" s="1"/>
  <c r="T36" i="6"/>
  <c r="AA36" i="6" s="1"/>
  <c r="T13" i="6"/>
  <c r="AA13" i="6" s="1"/>
  <c r="T34" i="6"/>
  <c r="AA34" i="6" s="1"/>
  <c r="T18" i="6"/>
  <c r="AA18" i="6" s="1"/>
  <c r="T40" i="6"/>
  <c r="AA40" i="6" s="1"/>
  <c r="T44" i="6"/>
  <c r="AA44" i="6" s="1"/>
  <c r="T48" i="6"/>
  <c r="AA48" i="6" s="1"/>
  <c r="T39" i="6"/>
  <c r="AA39" i="6" s="1"/>
  <c r="T19" i="6"/>
  <c r="AA19" i="6" s="1"/>
  <c r="T33" i="6"/>
  <c r="AA33" i="6" s="1"/>
  <c r="T29" i="6"/>
  <c r="AA29" i="6" s="1"/>
  <c r="T30" i="6"/>
  <c r="AA30" i="6" s="1"/>
  <c r="T17" i="6"/>
  <c r="AA17" i="6" s="1"/>
  <c r="T7" i="6"/>
  <c r="AA7" i="6" s="1"/>
  <c r="T43" i="6"/>
  <c r="AA43" i="6" s="1"/>
  <c r="T47" i="6"/>
  <c r="AA47" i="6" s="1"/>
  <c r="T45" i="6"/>
  <c r="AA45" i="6" s="1"/>
  <c r="T49" i="6"/>
  <c r="AA49" i="6" s="1"/>
  <c r="T21" i="6"/>
  <c r="AA21" i="6" s="1"/>
  <c r="T15" i="6"/>
  <c r="AA15" i="6" s="1"/>
  <c r="T10" i="6"/>
  <c r="AA10" i="6" s="1"/>
  <c r="T14" i="6"/>
  <c r="AA14" i="6" s="1"/>
  <c r="T24" i="6"/>
  <c r="AA24" i="6" s="1"/>
  <c r="T8" i="6"/>
  <c r="AA8" i="6" s="1"/>
  <c r="O7" i="9"/>
  <c r="P7" i="9" s="1"/>
  <c r="L7" i="9"/>
  <c r="M7" i="9" s="1"/>
  <c r="C7" i="9"/>
  <c r="D7" i="9" s="1"/>
  <c r="F7" i="9"/>
  <c r="G7" i="9" s="1"/>
  <c r="I7" i="9"/>
  <c r="J7" i="9" s="1"/>
  <c r="O28" i="9"/>
  <c r="P28" i="9" s="1"/>
  <c r="L28" i="9"/>
  <c r="M28" i="9" s="1"/>
  <c r="C28" i="9"/>
  <c r="D28" i="9" s="1"/>
  <c r="F28" i="9"/>
  <c r="G28" i="9" s="1"/>
  <c r="I28" i="9"/>
  <c r="J28" i="9" s="1"/>
  <c r="F24" i="9"/>
  <c r="G24" i="9" s="1"/>
  <c r="L24" i="9"/>
  <c r="M24" i="9" s="1"/>
  <c r="O24" i="9"/>
  <c r="P24" i="9" s="1"/>
  <c r="I24" i="9"/>
  <c r="J24" i="9" s="1"/>
  <c r="C24" i="9"/>
  <c r="D24" i="9" s="1"/>
  <c r="O32" i="9"/>
  <c r="P32" i="9" s="1"/>
  <c r="L32" i="9"/>
  <c r="M32" i="9" s="1"/>
  <c r="C32" i="9"/>
  <c r="D32" i="9" s="1"/>
  <c r="F32" i="9"/>
  <c r="G32" i="9" s="1"/>
  <c r="I32" i="9"/>
  <c r="J32" i="9" s="1"/>
  <c r="C9" i="9"/>
  <c r="D9" i="9" s="1"/>
  <c r="F9" i="9"/>
  <c r="G9" i="9" s="1"/>
  <c r="I9" i="9"/>
  <c r="J9" i="9" s="1"/>
  <c r="O9" i="9"/>
  <c r="P9" i="9" s="1"/>
  <c r="L9" i="9"/>
  <c r="M9" i="9" s="1"/>
  <c r="F46" i="9"/>
  <c r="G46" i="9" s="1"/>
  <c r="L46" i="9"/>
  <c r="M46" i="9" s="1"/>
  <c r="I46" i="9"/>
  <c r="J46" i="9" s="1"/>
  <c r="C46" i="9"/>
  <c r="D46" i="9" s="1"/>
  <c r="O46" i="9"/>
  <c r="P46" i="9" s="1"/>
  <c r="L23" i="9"/>
  <c r="M23" i="9" s="1"/>
  <c r="I23" i="9"/>
  <c r="J23" i="9" s="1"/>
  <c r="C23" i="9"/>
  <c r="D23" i="9" s="1"/>
  <c r="O23" i="9"/>
  <c r="P23" i="9" s="1"/>
  <c r="F23" i="9"/>
  <c r="G23" i="9" s="1"/>
  <c r="F8" i="9"/>
  <c r="G8" i="9" s="1"/>
  <c r="C8" i="9"/>
  <c r="D8" i="9" s="1"/>
  <c r="I8" i="9"/>
  <c r="J8" i="9" s="1"/>
  <c r="O8" i="9"/>
  <c r="P8" i="9" s="1"/>
  <c r="L8" i="9"/>
  <c r="M8" i="9" s="1"/>
  <c r="F31" i="9"/>
  <c r="G31" i="9" s="1"/>
  <c r="C31" i="9"/>
  <c r="D31" i="9" s="1"/>
  <c r="I31" i="9"/>
  <c r="J31" i="9" s="1"/>
  <c r="O31" i="9"/>
  <c r="P31" i="9" s="1"/>
  <c r="L31" i="9"/>
  <c r="M31" i="9" s="1"/>
  <c r="F27" i="9"/>
  <c r="O27" i="9"/>
  <c r="I27" i="9"/>
  <c r="L27" i="9"/>
  <c r="C27" i="9"/>
  <c r="O25" i="9"/>
  <c r="P25" i="9" s="1"/>
  <c r="L25" i="9"/>
  <c r="M25" i="9" s="1"/>
  <c r="F25" i="9"/>
  <c r="G25" i="9" s="1"/>
  <c r="C25" i="9"/>
  <c r="D25" i="9" s="1"/>
  <c r="I25" i="9"/>
  <c r="J25" i="9" s="1"/>
  <c r="L17" i="9"/>
  <c r="M17" i="9" s="1"/>
  <c r="I17" i="9"/>
  <c r="J17" i="9" s="1"/>
  <c r="C17" i="9"/>
  <c r="D17" i="9" s="1"/>
  <c r="O17" i="9"/>
  <c r="P17" i="9" s="1"/>
  <c r="F17" i="9"/>
  <c r="G17" i="9" s="1"/>
  <c r="F18" i="9"/>
  <c r="G18" i="9" s="1"/>
  <c r="I18" i="9"/>
  <c r="J18" i="9" s="1"/>
  <c r="O18" i="9"/>
  <c r="P18" i="9" s="1"/>
  <c r="L18" i="9"/>
  <c r="M18" i="9" s="1"/>
  <c r="C18" i="9"/>
  <c r="D18" i="9" s="1"/>
  <c r="C38" i="9"/>
  <c r="D38" i="9" s="1"/>
  <c r="I38" i="9"/>
  <c r="J38" i="9" s="1"/>
  <c r="F38" i="9"/>
  <c r="G38" i="9" s="1"/>
  <c r="L38" i="9"/>
  <c r="M38" i="9" s="1"/>
  <c r="O38" i="9"/>
  <c r="P38" i="9" s="1"/>
  <c r="C40" i="9"/>
  <c r="D40" i="9" s="1"/>
  <c r="L40" i="9"/>
  <c r="M40" i="9" s="1"/>
  <c r="O40" i="9"/>
  <c r="P40" i="9" s="1"/>
  <c r="F40" i="9"/>
  <c r="G40" i="9" s="1"/>
  <c r="I40" i="9"/>
  <c r="J40" i="9" s="1"/>
  <c r="F30" i="9"/>
  <c r="G30" i="9" s="1"/>
  <c r="O30" i="9"/>
  <c r="P30" i="9" s="1"/>
  <c r="I30" i="9"/>
  <c r="J30" i="9" s="1"/>
  <c r="C30" i="9"/>
  <c r="D30" i="9" s="1"/>
  <c r="L30" i="9"/>
  <c r="M30" i="9" s="1"/>
  <c r="O37" i="9"/>
  <c r="L37" i="9"/>
  <c r="F37" i="9"/>
  <c r="C37" i="9"/>
  <c r="I37" i="9"/>
  <c r="F41" i="9"/>
  <c r="G41" i="9" s="1"/>
  <c r="C41" i="9"/>
  <c r="D41" i="9" s="1"/>
  <c r="O41" i="9"/>
  <c r="P41" i="9" s="1"/>
  <c r="L41" i="9"/>
  <c r="M41" i="9" s="1"/>
  <c r="I41" i="9"/>
  <c r="J41" i="9" s="1"/>
  <c r="F22" i="9"/>
  <c r="O22" i="9"/>
  <c r="I22" i="9"/>
  <c r="C22" i="9"/>
  <c r="L22" i="9"/>
  <c r="F33" i="9"/>
  <c r="G33" i="9" s="1"/>
  <c r="L33" i="9"/>
  <c r="M33" i="9" s="1"/>
  <c r="I33" i="9"/>
  <c r="J33" i="9" s="1"/>
  <c r="C33" i="9"/>
  <c r="D33" i="9" s="1"/>
  <c r="O33" i="9"/>
  <c r="P33" i="9" s="1"/>
  <c r="L19" i="9"/>
  <c r="M19" i="9" s="1"/>
  <c r="F19" i="9"/>
  <c r="G19" i="9" s="1"/>
  <c r="C19" i="9"/>
  <c r="D19" i="9" s="1"/>
  <c r="I19" i="9"/>
  <c r="J19" i="9" s="1"/>
  <c r="O19" i="9"/>
  <c r="P19" i="9" s="1"/>
  <c r="F48" i="9"/>
  <c r="G48" i="9" s="1"/>
  <c r="I48" i="9"/>
  <c r="J48" i="9" s="1"/>
  <c r="C48" i="9"/>
  <c r="D48" i="9" s="1"/>
  <c r="L48" i="9"/>
  <c r="M48" i="9" s="1"/>
  <c r="O48" i="9"/>
  <c r="P48" i="9" s="1"/>
  <c r="F29" i="9"/>
  <c r="G29" i="9" s="1"/>
  <c r="L29" i="9"/>
  <c r="M29" i="9" s="1"/>
  <c r="I29" i="9"/>
  <c r="J29" i="9" s="1"/>
  <c r="C29" i="9"/>
  <c r="D29" i="9" s="1"/>
  <c r="O29" i="9"/>
  <c r="P29" i="9" s="1"/>
  <c r="O42" i="9"/>
  <c r="P42" i="9" s="1"/>
  <c r="I42" i="9"/>
  <c r="J42" i="9" s="1"/>
  <c r="L42" i="9"/>
  <c r="M42" i="9" s="1"/>
  <c r="F42" i="9"/>
  <c r="G42" i="9" s="1"/>
  <c r="C42" i="9"/>
  <c r="D42" i="9" s="1"/>
  <c r="O35" i="9"/>
  <c r="P35" i="9" s="1"/>
  <c r="L35" i="9"/>
  <c r="M35" i="9" s="1"/>
  <c r="F35" i="9"/>
  <c r="G35" i="9" s="1"/>
  <c r="C35" i="9"/>
  <c r="D35" i="9" s="1"/>
  <c r="I35" i="9"/>
  <c r="J35" i="9" s="1"/>
  <c r="F12" i="9"/>
  <c r="G12" i="9" s="1"/>
  <c r="L12" i="9"/>
  <c r="M12" i="9" s="1"/>
  <c r="O12" i="9"/>
  <c r="P12" i="9" s="1"/>
  <c r="I12" i="9"/>
  <c r="J12" i="9" s="1"/>
  <c r="C12" i="9"/>
  <c r="D12" i="9" s="1"/>
  <c r="O45" i="9"/>
  <c r="P45" i="9" s="1"/>
  <c r="L45" i="9"/>
  <c r="M45" i="9" s="1"/>
  <c r="I45" i="9"/>
  <c r="J45" i="9" s="1"/>
  <c r="F45" i="9"/>
  <c r="G45" i="9" s="1"/>
  <c r="C45" i="9"/>
  <c r="D45" i="9" s="1"/>
  <c r="J49" i="9"/>
  <c r="G49" i="9"/>
  <c r="D49" i="9"/>
  <c r="M49" i="9"/>
  <c r="P49" i="9"/>
  <c r="O39" i="9"/>
  <c r="P39" i="9" s="1"/>
  <c r="L39" i="9"/>
  <c r="M39" i="9" s="1"/>
  <c r="I39" i="9"/>
  <c r="J39" i="9" s="1"/>
  <c r="F39" i="9"/>
  <c r="G39" i="9" s="1"/>
  <c r="C39" i="9"/>
  <c r="D39" i="9" s="1"/>
  <c r="L13" i="9"/>
  <c r="M13" i="9" s="1"/>
  <c r="F13" i="9"/>
  <c r="G13" i="9" s="1"/>
  <c r="C13" i="9"/>
  <c r="D13" i="9" s="1"/>
  <c r="I13" i="9"/>
  <c r="J13" i="9" s="1"/>
  <c r="O13" i="9"/>
  <c r="P13" i="9" s="1"/>
  <c r="C11" i="9"/>
  <c r="F11" i="9"/>
  <c r="L11" i="9"/>
  <c r="I11" i="9"/>
  <c r="O11" i="9"/>
  <c r="L16" i="9"/>
  <c r="I16" i="9"/>
  <c r="O16" i="9"/>
  <c r="C16" i="9"/>
  <c r="F16" i="9"/>
  <c r="I14" i="9"/>
  <c r="J14" i="9" s="1"/>
  <c r="O14" i="9"/>
  <c r="P14" i="9" s="1"/>
  <c r="L14" i="9"/>
  <c r="M14" i="9" s="1"/>
  <c r="C14" i="9"/>
  <c r="D14" i="9" s="1"/>
  <c r="F14" i="9"/>
  <c r="G14" i="9" s="1"/>
  <c r="F20" i="9"/>
  <c r="G20" i="9" s="1"/>
  <c r="I20" i="9"/>
  <c r="J20" i="9" s="1"/>
  <c r="O20" i="9"/>
  <c r="P20" i="9" s="1"/>
  <c r="L20" i="9"/>
  <c r="M20" i="9" s="1"/>
  <c r="C20" i="9"/>
  <c r="D20" i="9" s="1"/>
  <c r="C34" i="9"/>
  <c r="D34" i="9" s="1"/>
  <c r="L34" i="9"/>
  <c r="M34" i="9" s="1"/>
  <c r="F34" i="9"/>
  <c r="G34" i="9" s="1"/>
  <c r="I34" i="9"/>
  <c r="J34" i="9" s="1"/>
  <c r="O34" i="9"/>
  <c r="P34" i="9" s="1"/>
  <c r="F47" i="9"/>
  <c r="G47" i="9" s="1"/>
  <c r="C47" i="9"/>
  <c r="D47" i="9" s="1"/>
  <c r="O47" i="9"/>
  <c r="P47" i="9" s="1"/>
  <c r="L47" i="9"/>
  <c r="M47" i="9" s="1"/>
  <c r="I47" i="9"/>
  <c r="J47" i="9" s="1"/>
  <c r="AB10" i="6" l="1"/>
  <c r="AB45" i="6"/>
  <c r="AB17" i="6"/>
  <c r="AB19" i="6"/>
  <c r="AB41" i="6"/>
  <c r="AB8" i="6"/>
  <c r="AB15" i="6"/>
  <c r="AB47" i="6"/>
  <c r="AB30" i="6"/>
  <c r="AB39" i="6"/>
  <c r="AB18" i="6"/>
  <c r="AB12" i="6"/>
  <c r="AB42" i="6"/>
  <c r="AB23" i="6"/>
  <c r="AB50" i="6"/>
  <c r="AB40" i="6"/>
  <c r="AB28" i="6"/>
  <c r="AB24" i="6"/>
  <c r="AB21" i="6"/>
  <c r="AB43" i="6"/>
  <c r="AB29" i="6"/>
  <c r="AB48" i="6"/>
  <c r="AB34" i="6"/>
  <c r="AB26" i="6"/>
  <c r="AB25" i="6"/>
  <c r="AB9" i="6"/>
  <c r="AB31" i="6"/>
  <c r="AB36" i="6"/>
  <c r="AB35" i="6"/>
  <c r="AB14" i="6"/>
  <c r="AB49" i="6"/>
  <c r="AB33" i="6"/>
  <c r="AB44" i="6"/>
  <c r="AB13" i="6"/>
  <c r="AB46" i="6"/>
  <c r="AB20" i="6"/>
  <c r="AB32" i="6"/>
  <c r="AB38" i="6"/>
  <c r="T51" i="6"/>
  <c r="AA51" i="6" s="1"/>
  <c r="T22" i="6"/>
  <c r="AA22" i="6" s="1"/>
  <c r="T37" i="6"/>
  <c r="AA37" i="6" s="1"/>
  <c r="T27" i="6"/>
  <c r="AA27" i="6" s="1"/>
  <c r="T16" i="6"/>
  <c r="AA16" i="6" s="1"/>
  <c r="T11" i="6"/>
  <c r="AA11" i="6" s="1"/>
  <c r="D22" i="9"/>
  <c r="D26" i="9" s="1"/>
  <c r="C26" i="9"/>
  <c r="O36" i="9"/>
  <c r="P27" i="9"/>
  <c r="P36" i="9" s="1"/>
  <c r="D16" i="9"/>
  <c r="D21" i="9" s="1"/>
  <c r="C21" i="9"/>
  <c r="I21" i="9"/>
  <c r="J16" i="9"/>
  <c r="J21" i="9" s="1"/>
  <c r="G11" i="9"/>
  <c r="G15" i="9" s="1"/>
  <c r="F15" i="9"/>
  <c r="P22" i="9"/>
  <c r="P26" i="9" s="1"/>
  <c r="O26" i="9"/>
  <c r="G37" i="9"/>
  <c r="G50" i="9" s="1"/>
  <c r="F50" i="9"/>
  <c r="D27" i="9"/>
  <c r="D36" i="9" s="1"/>
  <c r="C36" i="9"/>
  <c r="J27" i="9"/>
  <c r="J36" i="9" s="1"/>
  <c r="I36" i="9"/>
  <c r="D11" i="9"/>
  <c r="D15" i="9" s="1"/>
  <c r="C15" i="9"/>
  <c r="D37" i="9"/>
  <c r="D50" i="9" s="1"/>
  <c r="C50" i="9"/>
  <c r="G16" i="9"/>
  <c r="G21" i="9" s="1"/>
  <c r="F21" i="9"/>
  <c r="M16" i="9"/>
  <c r="M21" i="9" s="1"/>
  <c r="L21" i="9"/>
  <c r="J11" i="9"/>
  <c r="J15" i="9" s="1"/>
  <c r="I15" i="9"/>
  <c r="I26" i="9"/>
  <c r="J22" i="9"/>
  <c r="J26" i="9" s="1"/>
  <c r="J37" i="9"/>
  <c r="J50" i="9" s="1"/>
  <c r="I50" i="9"/>
  <c r="O50" i="9"/>
  <c r="P37" i="9"/>
  <c r="P50" i="9" s="1"/>
  <c r="G27" i="9"/>
  <c r="G36" i="9" s="1"/>
  <c r="F36" i="9"/>
  <c r="P11" i="9"/>
  <c r="P15" i="9" s="1"/>
  <c r="O15" i="9"/>
  <c r="O6" i="9"/>
  <c r="C6" i="9"/>
  <c r="F6" i="9"/>
  <c r="L6" i="9"/>
  <c r="I6" i="9"/>
  <c r="P16" i="9"/>
  <c r="P21" i="9" s="1"/>
  <c r="O21" i="9"/>
  <c r="L15" i="9"/>
  <c r="M11" i="9"/>
  <c r="M15" i="9" s="1"/>
  <c r="M22" i="9"/>
  <c r="M26" i="9" s="1"/>
  <c r="L26" i="9"/>
  <c r="G22" i="9"/>
  <c r="G26" i="9" s="1"/>
  <c r="F26" i="9"/>
  <c r="L50" i="9"/>
  <c r="M37" i="9"/>
  <c r="M50" i="9" s="1"/>
  <c r="L36" i="9"/>
  <c r="M27" i="9"/>
  <c r="M36" i="9" s="1"/>
  <c r="AB16" i="6" l="1"/>
  <c r="AB51" i="6"/>
  <c r="AB27" i="6"/>
  <c r="AB37" i="6"/>
  <c r="AB11" i="6"/>
  <c r="AB22" i="6"/>
  <c r="D6" i="9"/>
  <c r="C10" i="9"/>
  <c r="C51" i="9" s="1"/>
  <c r="G6" i="9"/>
  <c r="F10" i="9"/>
  <c r="F51" i="9" s="1"/>
  <c r="J6" i="9"/>
  <c r="I10" i="9"/>
  <c r="I51" i="9" s="1"/>
  <c r="P6" i="9"/>
  <c r="O10" i="9"/>
  <c r="O51" i="9" s="1"/>
  <c r="L10" i="9"/>
  <c r="L51" i="9" s="1"/>
  <c r="M6" i="9"/>
  <c r="M10" i="9" s="1"/>
  <c r="G10" i="9" l="1"/>
  <c r="G51" i="9" s="1"/>
  <c r="P10" i="9"/>
  <c r="P51" i="9" s="1"/>
  <c r="D10" i="9"/>
  <c r="D51" i="9" s="1"/>
  <c r="J10" i="9"/>
  <c r="J51" i="9" s="1"/>
  <c r="M51" i="9"/>
  <c r="AB7" i="6"/>
</calcChain>
</file>

<file path=xl/sharedStrings.xml><?xml version="1.0" encoding="utf-8"?>
<sst xmlns="http://schemas.openxmlformats.org/spreadsheetml/2006/main" count="698" uniqueCount="189">
  <si>
    <t>Church Name</t>
  </si>
  <si>
    <t>Rehoboth</t>
  </si>
  <si>
    <t>Love International</t>
  </si>
  <si>
    <t>Elevation</t>
  </si>
  <si>
    <t>Maranatha</t>
  </si>
  <si>
    <t>Throne of Greatness</t>
  </si>
  <si>
    <t>Shekinar Glory</t>
  </si>
  <si>
    <t>Male</t>
  </si>
  <si>
    <t>Female</t>
  </si>
  <si>
    <t>Children</t>
  </si>
  <si>
    <t>Total</t>
  </si>
  <si>
    <t>Tithes</t>
  </si>
  <si>
    <t>Thanksgiving</t>
  </si>
  <si>
    <t>Testimonies</t>
  </si>
  <si>
    <t>Goodnews</t>
  </si>
  <si>
    <t>Shiloh</t>
  </si>
  <si>
    <t>Lords</t>
  </si>
  <si>
    <t>Redemption</t>
  </si>
  <si>
    <t>Upper room</t>
  </si>
  <si>
    <t>Dominion</t>
  </si>
  <si>
    <t>Fruitful</t>
  </si>
  <si>
    <t>Heritage</t>
  </si>
  <si>
    <t>Favour</t>
  </si>
  <si>
    <t>Praise</t>
  </si>
  <si>
    <t>Restoration</t>
  </si>
  <si>
    <t>Salem</t>
  </si>
  <si>
    <t>City of Truth</t>
  </si>
  <si>
    <t>Revival</t>
  </si>
  <si>
    <t>Throne of Mercy</t>
  </si>
  <si>
    <t>Salvation</t>
  </si>
  <si>
    <t>Freedom</t>
  </si>
  <si>
    <t>Dunamis</t>
  </si>
  <si>
    <t>Goshen</t>
  </si>
  <si>
    <t xml:space="preserve">Mercy </t>
  </si>
  <si>
    <t>Peace</t>
  </si>
  <si>
    <t>Pillar of Light and Truth</t>
  </si>
  <si>
    <t>Miracle</t>
  </si>
  <si>
    <t>Pastor Name</t>
  </si>
  <si>
    <t>Location</t>
  </si>
  <si>
    <t>Pst Phone Number</t>
  </si>
  <si>
    <t>Pst. Frances Nabie</t>
  </si>
  <si>
    <t>Pst. Vincent Otebele</t>
  </si>
  <si>
    <t>First timers</t>
  </si>
  <si>
    <t>Pst. Moses Okwuonu</t>
  </si>
  <si>
    <t>Word of Life</t>
  </si>
  <si>
    <t>Pst. Patrick Anaelechi</t>
  </si>
  <si>
    <t>Pst. Uchenna John</t>
  </si>
  <si>
    <t>Pst. Vincent Ameh</t>
  </si>
  <si>
    <t>Pst. Joseph Onah</t>
  </si>
  <si>
    <t>Pst. Collins Obodo</t>
  </si>
  <si>
    <t>Pst. Daniel Chukwuma</t>
  </si>
  <si>
    <t>Pst. Raymond Atuh</t>
  </si>
  <si>
    <t>Pst. Chimezie Lewechi</t>
  </si>
  <si>
    <t>Pst. Tony Otigbuo</t>
  </si>
  <si>
    <t>Pst. Peter Omoko</t>
  </si>
  <si>
    <t>Pst. Maxwell Eugene C.</t>
  </si>
  <si>
    <t>Pst. Gregory Omonribhor</t>
  </si>
  <si>
    <t>Pst. Austine Emeh</t>
  </si>
  <si>
    <t>Peculiar</t>
  </si>
  <si>
    <t>Pst. Dave Ebhodaghe</t>
  </si>
  <si>
    <t>Pst. Videekor Samuel</t>
  </si>
  <si>
    <t>Pst. Lemon Samson</t>
  </si>
  <si>
    <t>Transformation</t>
  </si>
  <si>
    <t>Pst. Ikechukwu Uzoma</t>
  </si>
  <si>
    <t>Pst Okechukwu Ochulo</t>
  </si>
  <si>
    <t>Zion Faith  Int'l</t>
  </si>
  <si>
    <t>Zones</t>
  </si>
  <si>
    <t>IMPACT</t>
  </si>
  <si>
    <t>Rumuomasi</t>
  </si>
  <si>
    <t>D - Line</t>
  </si>
  <si>
    <t>Woji</t>
  </si>
  <si>
    <t>Borokiri</t>
  </si>
  <si>
    <t>Odili Road</t>
  </si>
  <si>
    <t>Oginigba</t>
  </si>
  <si>
    <t>Bonny Island</t>
  </si>
  <si>
    <t>Rumukwurushi</t>
  </si>
  <si>
    <t>Igbo Etche</t>
  </si>
  <si>
    <t>Eneka</t>
  </si>
  <si>
    <t>Elimgbu</t>
  </si>
  <si>
    <t>Rumuodara</t>
  </si>
  <si>
    <t>Eleme</t>
  </si>
  <si>
    <t>Onne</t>
  </si>
  <si>
    <t>Elelenwo</t>
  </si>
  <si>
    <t>Rumuigbo</t>
  </si>
  <si>
    <t>Umuebelu IV</t>
  </si>
  <si>
    <t>Imo River</t>
  </si>
  <si>
    <t xml:space="preserve">Kom-kom Oyigbo </t>
  </si>
  <si>
    <t>Pipe Line Oyigbo</t>
  </si>
  <si>
    <t>Location Rd Oyigbo</t>
  </si>
  <si>
    <t>Uzuaku Town Asa</t>
  </si>
  <si>
    <t>Iriebe Oyigbo</t>
  </si>
  <si>
    <t>Afam Rd Oyigbo</t>
  </si>
  <si>
    <t>Palace Rd. Oyigbo</t>
  </si>
  <si>
    <t>Bodo City Gokana</t>
  </si>
  <si>
    <t>Bori - Khana</t>
  </si>
  <si>
    <t>Bomu Gokana</t>
  </si>
  <si>
    <t>Deeyor Gokana</t>
  </si>
  <si>
    <t>Biara Gokana</t>
  </si>
  <si>
    <t>Barako Gokana</t>
  </si>
  <si>
    <t>Nwebiara Gokana</t>
  </si>
  <si>
    <t>Nweol Gokana</t>
  </si>
  <si>
    <t>K-Dere Gokana</t>
  </si>
  <si>
    <t>Mogho Gokana</t>
  </si>
  <si>
    <t>Gbe Gokana</t>
  </si>
  <si>
    <t>Deken Gokana</t>
  </si>
  <si>
    <t>Fruitful Vine</t>
  </si>
  <si>
    <t>Royal Tabernacle</t>
  </si>
  <si>
    <t>Precious</t>
  </si>
  <si>
    <t>I - care</t>
  </si>
  <si>
    <t>Convenant House</t>
  </si>
  <si>
    <t>TOTAL</t>
  </si>
  <si>
    <t>B-Dere</t>
  </si>
  <si>
    <t>Joyful Centre</t>
  </si>
  <si>
    <t>CRM, R/S 1</t>
  </si>
  <si>
    <t>REHOBOTH</t>
  </si>
  <si>
    <t xml:space="preserve">PST. ASHIBIRIBA DANIEL </t>
  </si>
  <si>
    <t>Attendance</t>
  </si>
  <si>
    <t>Income</t>
  </si>
  <si>
    <t>Monthly Totals</t>
  </si>
  <si>
    <t>GRAND TOTAL</t>
  </si>
  <si>
    <t>Visitors' Volume</t>
  </si>
  <si>
    <t>Income per Member</t>
  </si>
  <si>
    <t>ATTENDANCE</t>
  </si>
  <si>
    <t>Visitors' Retention Rate</t>
  </si>
  <si>
    <t>Members' Backdoor Rate</t>
  </si>
  <si>
    <t>N-Missions</t>
  </si>
  <si>
    <t>H-Missions</t>
  </si>
  <si>
    <t>INCOME</t>
  </si>
  <si>
    <t>Pst. David Michael</t>
  </si>
  <si>
    <r>
      <t xml:space="preserve">Love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1"/>
        <color theme="1"/>
        <rFont val="Tahoma"/>
        <family val="2"/>
      </rPr>
      <t>[Pst. Paulinus Nsirim]</t>
    </r>
  </si>
  <si>
    <r>
      <t xml:space="preserve">Heritage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1"/>
        <color theme="1"/>
        <rFont val="Tahoma"/>
        <family val="2"/>
      </rPr>
      <t>[Pst. Moses Okwuonu]</t>
    </r>
  </si>
  <si>
    <r>
      <t xml:space="preserve">Oyigbo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1"/>
        <color theme="1"/>
        <rFont val="Tahoma"/>
        <family val="2"/>
      </rPr>
      <t>[Pst. Vincent Otebele]</t>
    </r>
  </si>
  <si>
    <r>
      <t xml:space="preserve">Revival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1"/>
        <color theme="1"/>
        <rFont val="Tahoma"/>
        <family val="2"/>
      </rPr>
      <t>[Pst. Pius Mkpee]</t>
    </r>
  </si>
  <si>
    <t>Pst. Anslem Sunkle</t>
  </si>
  <si>
    <t>Pst. Martins Agbo</t>
  </si>
  <si>
    <t>Pst. Saviour Terkaa</t>
  </si>
  <si>
    <t>Pst. Paul Kilsi</t>
  </si>
  <si>
    <t>Pst. Alex Eneremadu</t>
  </si>
  <si>
    <t>Pst. Callistus Monday</t>
  </si>
  <si>
    <t>Pst. Peter Vikanen</t>
  </si>
  <si>
    <t>Pst. Barogide Marcus</t>
  </si>
  <si>
    <t>Pst. Wisdom Nnaa</t>
  </si>
  <si>
    <t>Pst. Raphael Giogo</t>
  </si>
  <si>
    <t>Pst. Innocent Dimkpa</t>
  </si>
  <si>
    <t>Pst. Tombari Kpoo</t>
  </si>
  <si>
    <t>Pst. Joshua Ibe</t>
  </si>
  <si>
    <t>Pst. Naty Dedua</t>
  </si>
  <si>
    <t>Pst. Jacinta Aloegah</t>
  </si>
  <si>
    <t>Pst. Christy Gbaraba</t>
  </si>
  <si>
    <r>
      <t xml:space="preserve">Maranatha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1"/>
        <color theme="1"/>
        <rFont val="Tahoma"/>
        <family val="2"/>
      </rPr>
      <t>[Pst. David Michael]</t>
    </r>
  </si>
  <si>
    <t>GHTI</t>
  </si>
  <si>
    <t>Pst. Jeremiah Godswill</t>
  </si>
  <si>
    <t>ALLOCATIONS</t>
  </si>
  <si>
    <t xml:space="preserve">State </t>
  </si>
  <si>
    <t>National</t>
  </si>
  <si>
    <t>Regional</t>
  </si>
  <si>
    <t>ATTENDANCE TO PROGRAMMES</t>
  </si>
  <si>
    <t>Allocations</t>
  </si>
  <si>
    <t>Attendance to Programmes</t>
  </si>
  <si>
    <t>State</t>
  </si>
  <si>
    <r>
      <t xml:space="preserve">Goodnews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1"/>
        <color theme="1"/>
        <rFont val="Tahoma"/>
        <family val="2"/>
      </rPr>
      <t>[Pst. OkeChukwu Ochulo]</t>
    </r>
  </si>
  <si>
    <t>Zone</t>
  </si>
  <si>
    <t>COT                                                                                                                                                                                                                                                                                            [Cut Off Date]</t>
  </si>
  <si>
    <t>CUT OFF DATE [COD]</t>
  </si>
  <si>
    <t>Average</t>
  </si>
  <si>
    <t>Variance</t>
  </si>
  <si>
    <t>COD Total</t>
  </si>
  <si>
    <t>Target</t>
  </si>
  <si>
    <t>Actual</t>
  </si>
  <si>
    <t>Week 2</t>
  </si>
  <si>
    <t>Week 1</t>
  </si>
  <si>
    <t>Week 3</t>
  </si>
  <si>
    <t>Week 4</t>
  </si>
  <si>
    <t>Week 5</t>
  </si>
  <si>
    <t>Target Compliance Rate</t>
  </si>
  <si>
    <t>Income per Member (₦)</t>
  </si>
  <si>
    <t>Cut Off Date (COD)</t>
  </si>
  <si>
    <t>Aggregate</t>
  </si>
  <si>
    <t>Position</t>
  </si>
  <si>
    <t>Monthly Ranking</t>
  </si>
  <si>
    <t>JANUARY, 2024</t>
  </si>
  <si>
    <t>OTHERS</t>
  </si>
  <si>
    <t>Firstfruits</t>
  </si>
  <si>
    <t>Arise &amp; Build</t>
  </si>
  <si>
    <t>CRMIC</t>
  </si>
  <si>
    <t xml:space="preserve"> </t>
  </si>
  <si>
    <t>Total Allocations</t>
  </si>
  <si>
    <t>Offering</t>
  </si>
  <si>
    <t>S-Missions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</si>
</sst>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64" formatCode="_(* #,##0.00_);_(* \(#,##0.00\);_(* &quot;-&quot;??_);_(@_)"/>
    <numFmt numFmtId="165" formatCode="00000000000"/>
    <numFmt numFmtId="166" formatCode="_-* #,##0_-;\-* #,##0_-;_-* &quot;-&quot;??_-;_-@_-"/>
  </numFmts>
  <fonts count="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b/>
      <sz val="11"/>
      <name val="Tahoma"/>
      <family val="2"/>
    </font>
    <font>
      <b/>
      <sz val="12"/>
      <color theme="4" tint="-0.249977111117893"/>
      <name val="Tahoma"/>
      <family val="2"/>
    </font>
    <font>
      <b/>
      <sz val="13"/>
      <color theme="1"/>
      <name val="Tahoma"/>
      <family val="2"/>
    </font>
    <font>
      <b/>
      <sz val="12"/>
      <color theme="1"/>
      <name val="Tahoma"/>
      <family val="2"/>
    </font>
    <font>
      <b/>
      <sz val="14"/>
      <color theme="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5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296">
    <xf numFmtId="0" fontId="0" fillId="0" borderId="0" xfId="0"/>
    <xf numFmtId="0" fontId="2" fillId="0" borderId="0" xfId="0" applyFont="1"/>
    <xf numFmtId="0" fontId="2" fillId="0" borderId="4" xfId="0" applyFont="1" applyBorder="1" applyAlignment="1">
      <alignment horizontal="left" wrapText="1"/>
    </xf>
    <xf numFmtId="0" fontId="2" fillId="0" borderId="4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2" fillId="0" borderId="0" xfId="0" applyFont="1" applyProtection="1"/>
    <xf numFmtId="0" fontId="3" fillId="3" borderId="4" xfId="0" applyFont="1" applyFill="1" applyBorder="1" applyAlignment="1" applyProtection="1">
      <alignment horizontal="center" vertical="center"/>
    </xf>
    <xf numFmtId="165" fontId="2" fillId="0" borderId="4" xfId="0" applyNumberFormat="1" applyFont="1" applyBorder="1" applyAlignment="1" applyProtection="1">
      <alignment horizontal="center" wrapText="1"/>
    </xf>
    <xf numFmtId="0" fontId="2" fillId="0" borderId="13" xfId="0" applyFont="1" applyBorder="1" applyAlignment="1" applyProtection="1">
      <alignment horizontal="left" wrapText="1"/>
    </xf>
    <xf numFmtId="0" fontId="2" fillId="0" borderId="13" xfId="0" applyFont="1" applyBorder="1" applyAlignment="1" applyProtection="1">
      <alignment wrapText="1"/>
    </xf>
    <xf numFmtId="164" fontId="2" fillId="2" borderId="9" xfId="1" applyFont="1" applyFill="1" applyBorder="1" applyProtection="1"/>
    <xf numFmtId="165" fontId="2" fillId="0" borderId="14" xfId="0" applyNumberFormat="1" applyFont="1" applyFill="1" applyBorder="1" applyAlignment="1" applyProtection="1">
      <alignment horizontal="center" wrapText="1"/>
    </xf>
    <xf numFmtId="0" fontId="0" fillId="0" borderId="0" xfId="0" applyProtection="1">
      <protection locked="0"/>
    </xf>
    <xf numFmtId="0" fontId="3" fillId="2" borderId="4" xfId="0" applyFont="1" applyFill="1" applyBorder="1" applyAlignment="1" applyProtection="1">
      <alignment horizontal="center" vertical="center" wrapText="1"/>
    </xf>
    <xf numFmtId="0" fontId="3" fillId="2" borderId="13" xfId="0" applyFont="1" applyFill="1" applyBorder="1" applyAlignment="1" applyProtection="1">
      <alignment horizontal="center" vertical="center" wrapText="1"/>
    </xf>
    <xf numFmtId="166" fontId="2" fillId="2" borderId="4" xfId="0" applyNumberFormat="1" applyFont="1" applyFill="1" applyBorder="1" applyProtection="1"/>
    <xf numFmtId="41" fontId="3" fillId="3" borderId="13" xfId="0" applyNumberFormat="1" applyFont="1" applyFill="1" applyBorder="1" applyAlignment="1" applyProtection="1">
      <alignment horizontal="center"/>
    </xf>
    <xf numFmtId="41" fontId="2" fillId="2" borderId="4" xfId="0" applyNumberFormat="1" applyFont="1" applyFill="1" applyBorder="1" applyProtection="1"/>
    <xf numFmtId="41" fontId="2" fillId="3" borderId="4" xfId="1" applyNumberFormat="1" applyFont="1" applyFill="1" applyBorder="1" applyProtection="1"/>
    <xf numFmtId="41" fontId="3" fillId="3" borderId="4" xfId="0" applyNumberFormat="1" applyFont="1" applyFill="1" applyBorder="1" applyAlignment="1" applyProtection="1">
      <alignment horizontal="center"/>
    </xf>
    <xf numFmtId="41" fontId="3" fillId="3" borderId="4" xfId="0" applyNumberFormat="1" applyFont="1" applyFill="1" applyBorder="1" applyProtection="1"/>
    <xf numFmtId="41" fontId="3" fillId="3" borderId="4" xfId="1" applyNumberFormat="1" applyFont="1" applyFill="1" applyBorder="1" applyProtection="1"/>
    <xf numFmtId="41" fontId="3" fillId="3" borderId="11" xfId="1" applyNumberFormat="1" applyFont="1" applyFill="1" applyBorder="1" applyProtection="1"/>
    <xf numFmtId="9" fontId="3" fillId="3" borderId="4" xfId="3" applyNumberFormat="1" applyFont="1" applyFill="1" applyBorder="1" applyProtection="1"/>
    <xf numFmtId="0" fontId="3" fillId="2" borderId="4" xfId="0" applyFont="1" applyFill="1" applyBorder="1" applyAlignment="1" applyProtection="1">
      <alignment horizontal="center" vertical="center"/>
    </xf>
    <xf numFmtId="0" fontId="2" fillId="0" borderId="0" xfId="0" applyFont="1" applyProtection="1">
      <protection locked="0"/>
    </xf>
    <xf numFmtId="0" fontId="6" fillId="0" borderId="5" xfId="0" applyFont="1" applyBorder="1" applyAlignment="1" applyProtection="1">
      <alignment horizontal="center"/>
      <protection locked="0"/>
    </xf>
    <xf numFmtId="0" fontId="6" fillId="0" borderId="6" xfId="0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6" fillId="0" borderId="7" xfId="0" applyFont="1" applyBorder="1" applyAlignment="1" applyProtection="1">
      <alignment horizontal="center"/>
      <protection locked="0"/>
    </xf>
    <xf numFmtId="0" fontId="2" fillId="0" borderId="13" xfId="0" applyFont="1" applyBorder="1" applyProtection="1">
      <protection locked="0"/>
    </xf>
    <xf numFmtId="41" fontId="2" fillId="0" borderId="8" xfId="0" applyNumberFormat="1" applyFont="1" applyBorder="1" applyProtection="1">
      <protection locked="0"/>
    </xf>
    <xf numFmtId="41" fontId="2" fillId="0" borderId="4" xfId="0" applyNumberFormat="1" applyFont="1" applyBorder="1" applyProtection="1">
      <protection locked="0"/>
    </xf>
    <xf numFmtId="41" fontId="2" fillId="0" borderId="4" xfId="1" applyNumberFormat="1" applyFont="1" applyBorder="1" applyProtection="1">
      <protection locked="0"/>
    </xf>
    <xf numFmtId="41" fontId="2" fillId="0" borderId="15" xfId="1" applyNumberFormat="1" applyFont="1" applyFill="1" applyBorder="1" applyProtection="1">
      <protection locked="0"/>
    </xf>
    <xf numFmtId="41" fontId="2" fillId="0" borderId="8" xfId="1" applyNumberFormat="1" applyFont="1" applyBorder="1" applyProtection="1">
      <protection locked="0"/>
    </xf>
    <xf numFmtId="41" fontId="2" fillId="0" borderId="8" xfId="2" applyNumberFormat="1" applyFont="1" applyBorder="1" applyProtection="1">
      <protection locked="0"/>
    </xf>
    <xf numFmtId="41" fontId="2" fillId="0" borderId="4" xfId="2" applyNumberFormat="1" applyFont="1" applyBorder="1" applyProtection="1">
      <protection locked="0"/>
    </xf>
    <xf numFmtId="0" fontId="2" fillId="0" borderId="17" xfId="0" applyFont="1" applyBorder="1" applyProtection="1">
      <protection locked="0"/>
    </xf>
    <xf numFmtId="41" fontId="2" fillId="0" borderId="0" xfId="0" applyNumberFormat="1" applyFont="1"/>
    <xf numFmtId="41" fontId="2" fillId="0" borderId="8" xfId="0" applyNumberFormat="1" applyFont="1" applyFill="1" applyBorder="1" applyProtection="1">
      <protection locked="0"/>
    </xf>
    <xf numFmtId="41" fontId="2" fillId="0" borderId="4" xfId="0" applyNumberFormat="1" applyFont="1" applyFill="1" applyBorder="1" applyProtection="1">
      <protection locked="0"/>
    </xf>
    <xf numFmtId="41" fontId="2" fillId="0" borderId="4" xfId="1" applyNumberFormat="1" applyFont="1" applyFill="1" applyBorder="1" applyProtection="1">
      <protection locked="0"/>
    </xf>
    <xf numFmtId="0" fontId="2" fillId="0" borderId="18" xfId="0" applyFont="1" applyBorder="1" applyProtection="1">
      <protection locked="0"/>
    </xf>
    <xf numFmtId="0" fontId="2" fillId="0" borderId="17" xfId="0" applyFont="1" applyBorder="1"/>
    <xf numFmtId="0" fontId="2" fillId="0" borderId="18" xfId="0" applyFont="1" applyBorder="1"/>
    <xf numFmtId="9" fontId="2" fillId="2" borderId="4" xfId="3" applyFont="1" applyFill="1" applyBorder="1" applyAlignment="1" applyProtection="1">
      <alignment horizontal="right"/>
    </xf>
    <xf numFmtId="41" fontId="2" fillId="4" borderId="4" xfId="0" applyNumberFormat="1" applyFont="1" applyFill="1" applyBorder="1" applyProtection="1"/>
    <xf numFmtId="41" fontId="3" fillId="4" borderId="4" xfId="0" applyNumberFormat="1" applyFont="1" applyFill="1" applyBorder="1" applyProtection="1"/>
    <xf numFmtId="41" fontId="3" fillId="4" borderId="4" xfId="1" applyNumberFormat="1" applyFont="1" applyFill="1" applyBorder="1" applyProtection="1"/>
    <xf numFmtId="41" fontId="3" fillId="4" borderId="27" xfId="1" applyNumberFormat="1" applyFont="1" applyFill="1" applyBorder="1" applyProtection="1"/>
    <xf numFmtId="41" fontId="3" fillId="4" borderId="30" xfId="1" applyNumberFormat="1" applyFont="1" applyFill="1" applyBorder="1" applyProtection="1"/>
    <xf numFmtId="41" fontId="3" fillId="4" borderId="8" xfId="1" applyNumberFormat="1" applyFont="1" applyFill="1" applyBorder="1" applyProtection="1"/>
    <xf numFmtId="41" fontId="2" fillId="4" borderId="6" xfId="0" applyNumberFormat="1" applyFont="1" applyFill="1" applyBorder="1" applyProtection="1"/>
    <xf numFmtId="41" fontId="2" fillId="4" borderId="8" xfId="0" applyNumberFormat="1" applyFont="1" applyFill="1" applyBorder="1" applyProtection="1"/>
    <xf numFmtId="41" fontId="2" fillId="4" borderId="5" xfId="0" applyNumberFormat="1" applyFont="1" applyFill="1" applyBorder="1" applyProtection="1"/>
    <xf numFmtId="166" fontId="3" fillId="3" borderId="4" xfId="0" applyNumberFormat="1" applyFont="1" applyFill="1" applyBorder="1" applyProtection="1"/>
    <xf numFmtId="165" fontId="2" fillId="0" borderId="17" xfId="0" applyNumberFormat="1" applyFont="1" applyBorder="1" applyAlignment="1" applyProtection="1">
      <alignment horizontal="center"/>
      <protection locked="0"/>
    </xf>
    <xf numFmtId="0" fontId="2" fillId="0" borderId="13" xfId="0" applyFont="1" applyBorder="1" applyAlignment="1" applyProtection="1"/>
    <xf numFmtId="41" fontId="3" fillId="4" borderId="27" xfId="0" applyNumberFormat="1" applyFont="1" applyFill="1" applyBorder="1" applyProtection="1"/>
    <xf numFmtId="41" fontId="2" fillId="4" borderId="23" xfId="0" applyNumberFormat="1" applyFont="1" applyFill="1" applyBorder="1" applyProtection="1"/>
    <xf numFmtId="41" fontId="2" fillId="4" borderId="40" xfId="0" applyNumberFormat="1" applyFont="1" applyFill="1" applyBorder="1" applyProtection="1"/>
    <xf numFmtId="0" fontId="3" fillId="2" borderId="8" xfId="0" applyFont="1" applyFill="1" applyBorder="1" applyAlignment="1" applyProtection="1">
      <alignment horizontal="center" vertical="center"/>
    </xf>
    <xf numFmtId="41" fontId="3" fillId="2" borderId="38" xfId="0" applyNumberFormat="1" applyFont="1" applyFill="1" applyBorder="1" applyProtection="1"/>
    <xf numFmtId="41" fontId="3" fillId="2" borderId="19" xfId="0" applyNumberFormat="1" applyFont="1" applyFill="1" applyBorder="1" applyProtection="1"/>
    <xf numFmtId="0" fontId="3" fillId="0" borderId="43" xfId="0" applyFont="1" applyBorder="1" applyAlignment="1">
      <alignment wrapText="1"/>
    </xf>
    <xf numFmtId="165" fontId="3" fillId="0" borderId="43" xfId="0" applyNumberFormat="1" applyFont="1" applyBorder="1" applyAlignment="1" applyProtection="1">
      <alignment horizontal="center" wrapText="1"/>
    </xf>
    <xf numFmtId="0" fontId="3" fillId="0" borderId="44" xfId="0" applyFont="1" applyBorder="1" applyAlignment="1" applyProtection="1">
      <alignment wrapText="1"/>
    </xf>
    <xf numFmtId="0" fontId="3" fillId="0" borderId="43" xfId="0" applyFont="1" applyBorder="1" applyAlignment="1" applyProtection="1">
      <alignment horizontal="right" wrapText="1"/>
    </xf>
    <xf numFmtId="166" fontId="3" fillId="2" borderId="43" xfId="0" applyNumberFormat="1" applyFont="1" applyFill="1" applyBorder="1" applyProtection="1"/>
    <xf numFmtId="41" fontId="3" fillId="3" borderId="43" xfId="0" applyNumberFormat="1" applyFont="1" applyFill="1" applyBorder="1" applyAlignment="1" applyProtection="1">
      <alignment horizontal="center"/>
    </xf>
    <xf numFmtId="41" fontId="3" fillId="2" borderId="43" xfId="0" applyNumberFormat="1" applyFont="1" applyFill="1" applyBorder="1" applyProtection="1"/>
    <xf numFmtId="9" fontId="3" fillId="2" borderId="43" xfId="3" applyFont="1" applyFill="1" applyBorder="1" applyProtection="1"/>
    <xf numFmtId="41" fontId="3" fillId="3" borderId="43" xfId="1" applyNumberFormat="1" applyFont="1" applyFill="1" applyBorder="1" applyProtection="1"/>
    <xf numFmtId="2" fontId="3" fillId="2" borderId="44" xfId="3" applyNumberFormat="1" applyFont="1" applyFill="1" applyBorder="1" applyProtection="1"/>
    <xf numFmtId="166" fontId="3" fillId="3" borderId="11" xfId="0" applyNumberFormat="1" applyFont="1" applyFill="1" applyBorder="1" applyProtection="1"/>
    <xf numFmtId="2" fontId="3" fillId="3" borderId="19" xfId="3" applyNumberFormat="1" applyFont="1" applyFill="1" applyBorder="1" applyProtection="1"/>
    <xf numFmtId="0" fontId="3" fillId="5" borderId="19" xfId="0" applyFont="1" applyFill="1" applyBorder="1" applyAlignment="1" applyProtection="1">
      <alignment horizontal="right"/>
      <protection locked="0"/>
    </xf>
    <xf numFmtId="9" fontId="2" fillId="2" borderId="45" xfId="3" applyFont="1" applyFill="1" applyBorder="1" applyAlignment="1" applyProtection="1">
      <alignment horizontal="right"/>
    </xf>
    <xf numFmtId="41" fontId="2" fillId="2" borderId="13" xfId="3" applyNumberFormat="1" applyFont="1" applyFill="1" applyBorder="1" applyAlignment="1" applyProtection="1">
      <alignment horizontal="right"/>
    </xf>
    <xf numFmtId="0" fontId="0" fillId="0" borderId="0" xfId="0" applyFont="1"/>
    <xf numFmtId="0" fontId="3" fillId="0" borderId="49" xfId="0" applyFont="1" applyBorder="1" applyAlignment="1" applyProtection="1">
      <alignment vertical="center" wrapText="1"/>
    </xf>
    <xf numFmtId="41" fontId="2" fillId="4" borderId="4" xfId="0" applyNumberFormat="1" applyFont="1" applyFill="1" applyBorder="1"/>
    <xf numFmtId="41" fontId="2" fillId="4" borderId="13" xfId="0" applyNumberFormat="1" applyFont="1" applyFill="1" applyBorder="1"/>
    <xf numFmtId="0" fontId="3" fillId="5" borderId="44" xfId="0" applyFont="1" applyFill="1" applyBorder="1" applyAlignment="1" applyProtection="1">
      <alignment horizontal="right" wrapText="1"/>
    </xf>
    <xf numFmtId="9" fontId="3" fillId="3" borderId="11" xfId="3" applyNumberFormat="1" applyFont="1" applyFill="1" applyBorder="1" applyAlignment="1" applyProtection="1">
      <alignment horizontal="right"/>
    </xf>
    <xf numFmtId="9" fontId="3" fillId="2" borderId="50" xfId="3" applyNumberFormat="1" applyFont="1" applyFill="1" applyBorder="1" applyProtection="1"/>
    <xf numFmtId="41" fontId="2" fillId="4" borderId="30" xfId="0" applyNumberFormat="1" applyFont="1" applyFill="1" applyBorder="1"/>
    <xf numFmtId="41" fontId="3" fillId="0" borderId="40" xfId="0" applyNumberFormat="1" applyFont="1" applyFill="1" applyBorder="1" applyAlignment="1">
      <alignment horizontal="center"/>
    </xf>
    <xf numFmtId="41" fontId="3" fillId="0" borderId="7" xfId="0" applyNumberFormat="1" applyFont="1" applyFill="1" applyBorder="1" applyAlignment="1">
      <alignment horizontal="center"/>
    </xf>
    <xf numFmtId="41" fontId="2" fillId="0" borderId="4" xfId="0" applyNumberFormat="1" applyFont="1" applyFill="1" applyBorder="1"/>
    <xf numFmtId="41" fontId="2" fillId="0" borderId="40" xfId="0" applyNumberFormat="1" applyFont="1" applyFill="1" applyBorder="1"/>
    <xf numFmtId="0" fontId="3" fillId="0" borderId="52" xfId="0" applyFont="1" applyBorder="1" applyAlignment="1"/>
    <xf numFmtId="1" fontId="2" fillId="0" borderId="39" xfId="0" applyNumberFormat="1" applyFont="1" applyFill="1" applyBorder="1"/>
    <xf numFmtId="1" fontId="2" fillId="4" borderId="9" xfId="0" applyNumberFormat="1" applyFont="1" applyFill="1" applyBorder="1"/>
    <xf numFmtId="41" fontId="2" fillId="5" borderId="43" xfId="0" applyNumberFormat="1" applyFont="1" applyFill="1" applyBorder="1"/>
    <xf numFmtId="41" fontId="2" fillId="5" borderId="44" xfId="0" applyNumberFormat="1" applyFont="1" applyFill="1" applyBorder="1"/>
    <xf numFmtId="1" fontId="2" fillId="5" borderId="54" xfId="0" applyNumberFormat="1" applyFont="1" applyFill="1" applyBorder="1"/>
    <xf numFmtId="41" fontId="2" fillId="4" borderId="11" xfId="0" applyNumberFormat="1" applyFont="1" applyFill="1" applyBorder="1"/>
    <xf numFmtId="41" fontId="2" fillId="4" borderId="19" xfId="0" applyNumberFormat="1" applyFont="1" applyFill="1" applyBorder="1"/>
    <xf numFmtId="1" fontId="2" fillId="4" borderId="34" xfId="3" applyNumberFormat="1" applyFont="1" applyFill="1" applyBorder="1" applyAlignment="1">
      <alignment horizontal="right"/>
    </xf>
    <xf numFmtId="0" fontId="3" fillId="2" borderId="32" xfId="0" applyFont="1" applyFill="1" applyBorder="1" applyAlignment="1" applyProtection="1">
      <alignment horizontal="center" vertical="center"/>
    </xf>
    <xf numFmtId="1" fontId="3" fillId="3" borderId="34" xfId="3" applyNumberFormat="1" applyFont="1" applyFill="1" applyBorder="1" applyProtection="1"/>
    <xf numFmtId="9" fontId="3" fillId="2" borderId="44" xfId="3" applyFont="1" applyFill="1" applyBorder="1" applyProtection="1"/>
    <xf numFmtId="1" fontId="3" fillId="2" borderId="44" xfId="3" applyNumberFormat="1" applyFont="1" applyFill="1" applyBorder="1" applyProtection="1"/>
    <xf numFmtId="9" fontId="3" fillId="3" borderId="4" xfId="3" applyNumberFormat="1" applyFont="1" applyFill="1" applyBorder="1" applyAlignment="1" applyProtection="1">
      <alignment horizontal="right"/>
    </xf>
    <xf numFmtId="1" fontId="3" fillId="3" borderId="13" xfId="3" applyNumberFormat="1" applyFont="1" applyFill="1" applyBorder="1" applyProtection="1"/>
    <xf numFmtId="9" fontId="3" fillId="3" borderId="27" xfId="3" applyFont="1" applyFill="1" applyBorder="1" applyProtection="1"/>
    <xf numFmtId="9" fontId="3" fillId="3" borderId="45" xfId="3" applyFont="1" applyFill="1" applyBorder="1" applyProtection="1"/>
    <xf numFmtId="9" fontId="3" fillId="2" borderId="51" xfId="3" applyFont="1" applyFill="1" applyBorder="1" applyProtection="1"/>
    <xf numFmtId="0" fontId="2" fillId="2" borderId="55" xfId="3" applyNumberFormat="1" applyFont="1" applyFill="1" applyBorder="1" applyProtection="1"/>
    <xf numFmtId="0" fontId="2" fillId="2" borderId="40" xfId="3" applyNumberFormat="1" applyFont="1" applyFill="1" applyBorder="1" applyProtection="1"/>
    <xf numFmtId="1" fontId="2" fillId="6" borderId="9" xfId="3" applyNumberFormat="1" applyFont="1" applyFill="1" applyBorder="1" applyProtection="1"/>
    <xf numFmtId="0" fontId="2" fillId="3" borderId="55" xfId="3" applyNumberFormat="1" applyFont="1" applyFill="1" applyBorder="1" applyProtection="1"/>
    <xf numFmtId="0" fontId="2" fillId="3" borderId="40" xfId="3" applyNumberFormat="1" applyFont="1" applyFill="1" applyBorder="1" applyProtection="1"/>
    <xf numFmtId="0" fontId="2" fillId="3" borderId="9" xfId="3" applyNumberFormat="1" applyFont="1" applyFill="1" applyBorder="1" applyProtection="1"/>
    <xf numFmtId="0" fontId="2" fillId="3" borderId="56" xfId="3" applyNumberFormat="1" applyFont="1" applyFill="1" applyBorder="1" applyProtection="1"/>
    <xf numFmtId="0" fontId="3" fillId="2" borderId="55" xfId="0" applyFont="1" applyFill="1" applyBorder="1" applyAlignment="1" applyProtection="1">
      <alignment horizontal="center" vertical="center" wrapText="1"/>
    </xf>
    <xf numFmtId="0" fontId="3" fillId="2" borderId="20" xfId="0" applyFont="1" applyFill="1" applyBorder="1" applyAlignment="1" applyProtection="1">
      <alignment horizontal="center" vertical="center" wrapText="1"/>
    </xf>
    <xf numFmtId="0" fontId="3" fillId="2" borderId="40" xfId="0" applyFont="1" applyFill="1" applyBorder="1" applyAlignment="1" applyProtection="1">
      <alignment horizontal="center" vertical="center" wrapText="1"/>
    </xf>
    <xf numFmtId="0" fontId="3" fillId="6" borderId="39" xfId="0" applyFont="1" applyFill="1" applyBorder="1" applyAlignment="1" applyProtection="1">
      <alignment horizontal="center" vertical="center" wrapText="1"/>
    </xf>
    <xf numFmtId="9" fontId="3" fillId="3" borderId="38" xfId="3" applyFont="1" applyFill="1" applyBorder="1" applyProtection="1"/>
    <xf numFmtId="2" fontId="3" fillId="3" borderId="9" xfId="3" applyNumberFormat="1" applyFont="1" applyFill="1" applyBorder="1" applyProtection="1"/>
    <xf numFmtId="41" fontId="2" fillId="4" borderId="9" xfId="1" applyNumberFormat="1" applyFont="1" applyFill="1" applyBorder="1" applyProtection="1"/>
    <xf numFmtId="41" fontId="3" fillId="4" borderId="13" xfId="1" applyNumberFormat="1" applyFont="1" applyFill="1" applyBorder="1" applyProtection="1"/>
    <xf numFmtId="41" fontId="2" fillId="0" borderId="8" xfId="1" applyNumberFormat="1" applyFont="1" applyFill="1" applyBorder="1" applyProtection="1">
      <protection locked="0"/>
    </xf>
    <xf numFmtId="41" fontId="2" fillId="4" borderId="13" xfId="0" applyNumberFormat="1" applyFont="1" applyFill="1" applyBorder="1" applyProtection="1"/>
    <xf numFmtId="41" fontId="2" fillId="4" borderId="7" xfId="0" applyNumberFormat="1" applyFont="1" applyFill="1" applyBorder="1" applyProtection="1"/>
    <xf numFmtId="41" fontId="3" fillId="2" borderId="36" xfId="0" applyNumberFormat="1" applyFont="1" applyFill="1" applyBorder="1" applyProtection="1"/>
    <xf numFmtId="0" fontId="2" fillId="0" borderId="0" xfId="0" applyFont="1"/>
    <xf numFmtId="0" fontId="2" fillId="0" borderId="0" xfId="0" applyFont="1" applyProtection="1"/>
    <xf numFmtId="0" fontId="6" fillId="0" borderId="5" xfId="0" applyFont="1" applyBorder="1" applyAlignment="1" applyProtection="1">
      <alignment horizontal="center"/>
      <protection locked="0"/>
    </xf>
    <xf numFmtId="0" fontId="6" fillId="0" borderId="6" xfId="0" applyFont="1" applyBorder="1" applyAlignment="1" applyProtection="1">
      <alignment horizontal="center"/>
      <protection locked="0"/>
    </xf>
    <xf numFmtId="41" fontId="2" fillId="0" borderId="0" xfId="0" applyNumberFormat="1" applyFont="1"/>
    <xf numFmtId="0" fontId="6" fillId="0" borderId="20" xfId="0" applyFont="1" applyBorder="1" applyAlignment="1" applyProtection="1">
      <alignment horizontal="center"/>
      <protection locked="0"/>
    </xf>
    <xf numFmtId="0" fontId="6" fillId="0" borderId="42" xfId="0" applyFont="1" applyBorder="1" applyAlignment="1" applyProtection="1">
      <alignment horizontal="center"/>
      <protection locked="0"/>
    </xf>
    <xf numFmtId="0" fontId="6" fillId="4" borderId="7" xfId="0" applyFont="1" applyFill="1" applyBorder="1" applyAlignment="1" applyProtection="1">
      <alignment horizontal="center"/>
    </xf>
    <xf numFmtId="41" fontId="2" fillId="0" borderId="8" xfId="0" applyNumberFormat="1" applyFont="1" applyBorder="1" applyProtection="1">
      <protection locked="0"/>
    </xf>
    <xf numFmtId="41" fontId="2" fillId="0" borderId="4" xfId="0" applyNumberFormat="1" applyFont="1" applyBorder="1" applyProtection="1">
      <protection locked="0"/>
    </xf>
    <xf numFmtId="41" fontId="2" fillId="0" borderId="4" xfId="1" applyNumberFormat="1" applyFont="1" applyBorder="1" applyProtection="1">
      <protection locked="0"/>
    </xf>
    <xf numFmtId="41" fontId="2" fillId="0" borderId="9" xfId="0" applyNumberFormat="1" applyFont="1" applyBorder="1" applyProtection="1">
      <protection locked="0"/>
    </xf>
    <xf numFmtId="41" fontId="2" fillId="0" borderId="15" xfId="1" applyNumberFormat="1" applyFont="1" applyFill="1" applyBorder="1" applyProtection="1">
      <protection locked="0"/>
    </xf>
    <xf numFmtId="41" fontId="2" fillId="0" borderId="8" xfId="1" applyNumberFormat="1" applyFont="1" applyBorder="1" applyProtection="1">
      <protection locked="0"/>
    </xf>
    <xf numFmtId="41" fontId="2" fillId="0" borderId="9" xfId="1" applyNumberFormat="1" applyFont="1" applyBorder="1" applyProtection="1">
      <protection locked="0"/>
    </xf>
    <xf numFmtId="41" fontId="2" fillId="0" borderId="8" xfId="2" applyNumberFormat="1" applyFont="1" applyBorder="1" applyProtection="1">
      <protection locked="0"/>
    </xf>
    <xf numFmtId="41" fontId="2" fillId="0" borderId="4" xfId="2" applyNumberFormat="1" applyFont="1" applyBorder="1" applyProtection="1">
      <protection locked="0"/>
    </xf>
    <xf numFmtId="41" fontId="2" fillId="0" borderId="8" xfId="0" applyNumberFormat="1" applyFont="1" applyFill="1" applyBorder="1" applyProtection="1">
      <protection locked="0"/>
    </xf>
    <xf numFmtId="41" fontId="2" fillId="0" borderId="4" xfId="0" applyNumberFormat="1" applyFont="1" applyFill="1" applyBorder="1" applyProtection="1">
      <protection locked="0"/>
    </xf>
    <xf numFmtId="41" fontId="2" fillId="0" borderId="0" xfId="0" applyNumberFormat="1" applyFont="1" applyFill="1" applyProtection="1">
      <protection locked="0"/>
    </xf>
    <xf numFmtId="41" fontId="2" fillId="0" borderId="9" xfId="0" applyNumberFormat="1" applyFont="1" applyFill="1" applyBorder="1" applyProtection="1">
      <protection locked="0"/>
    </xf>
    <xf numFmtId="41" fontId="2" fillId="0" borderId="4" xfId="1" applyNumberFormat="1" applyFont="1" applyFill="1" applyBorder="1" applyProtection="1">
      <protection locked="0"/>
    </xf>
    <xf numFmtId="41" fontId="2" fillId="0" borderId="17" xfId="0" applyNumberFormat="1" applyFont="1" applyFill="1" applyBorder="1" applyProtection="1">
      <protection locked="0"/>
    </xf>
    <xf numFmtId="41" fontId="2" fillId="0" borderId="16" xfId="0" applyNumberFormat="1" applyFont="1" applyFill="1" applyBorder="1" applyProtection="1">
      <protection locked="0"/>
    </xf>
    <xf numFmtId="41" fontId="2" fillId="0" borderId="17" xfId="1" applyNumberFormat="1" applyFont="1" applyFill="1" applyBorder="1" applyProtection="1">
      <protection locked="0"/>
    </xf>
    <xf numFmtId="41" fontId="2" fillId="0" borderId="20" xfId="0" applyNumberFormat="1" applyFont="1" applyFill="1" applyBorder="1" applyProtection="1">
      <protection locked="0"/>
    </xf>
    <xf numFmtId="41" fontId="2" fillId="4" borderId="4" xfId="0" applyNumberFormat="1" applyFont="1" applyFill="1" applyBorder="1" applyProtection="1"/>
    <xf numFmtId="41" fontId="3" fillId="4" borderId="4" xfId="0" applyNumberFormat="1" applyFont="1" applyFill="1" applyBorder="1" applyProtection="1"/>
    <xf numFmtId="41" fontId="3" fillId="4" borderId="4" xfId="1" applyNumberFormat="1" applyFont="1" applyFill="1" applyBorder="1" applyProtection="1"/>
    <xf numFmtId="41" fontId="3" fillId="4" borderId="27" xfId="1" applyNumberFormat="1" applyFont="1" applyFill="1" applyBorder="1" applyProtection="1"/>
    <xf numFmtId="41" fontId="3" fillId="4" borderId="30" xfId="1" applyNumberFormat="1" applyFont="1" applyFill="1" applyBorder="1" applyProtection="1"/>
    <xf numFmtId="41" fontId="3" fillId="4" borderId="8" xfId="1" applyNumberFormat="1" applyFont="1" applyFill="1" applyBorder="1" applyProtection="1"/>
    <xf numFmtId="41" fontId="3" fillId="4" borderId="9" xfId="0" applyNumberFormat="1" applyFont="1" applyFill="1" applyBorder="1" applyProtection="1"/>
    <xf numFmtId="41" fontId="3" fillId="4" borderId="9" xfId="1" applyNumberFormat="1" applyFont="1" applyFill="1" applyBorder="1" applyProtection="1"/>
    <xf numFmtId="41" fontId="2" fillId="4" borderId="4" xfId="1" applyNumberFormat="1" applyFont="1" applyFill="1" applyBorder="1" applyProtection="1"/>
    <xf numFmtId="41" fontId="2" fillId="4" borderId="17" xfId="1" applyNumberFormat="1" applyFont="1" applyFill="1" applyBorder="1" applyProtection="1"/>
    <xf numFmtId="41" fontId="2" fillId="4" borderId="6" xfId="0" applyNumberFormat="1" applyFont="1" applyFill="1" applyBorder="1" applyProtection="1"/>
    <xf numFmtId="41" fontId="2" fillId="4" borderId="8" xfId="0" applyNumberFormat="1" applyFont="1" applyFill="1" applyBorder="1" applyProtection="1"/>
    <xf numFmtId="41" fontId="2" fillId="4" borderId="9" xfId="0" applyNumberFormat="1" applyFont="1" applyFill="1" applyBorder="1" applyProtection="1"/>
    <xf numFmtId="41" fontId="2" fillId="4" borderId="5" xfId="0" applyNumberFormat="1" applyFont="1" applyFill="1" applyBorder="1" applyProtection="1"/>
    <xf numFmtId="41" fontId="2" fillId="4" borderId="17" xfId="0" applyNumberFormat="1" applyFont="1" applyFill="1" applyBorder="1" applyProtection="1"/>
    <xf numFmtId="41" fontId="3" fillId="4" borderId="27" xfId="0" applyNumberFormat="1" applyFont="1" applyFill="1" applyBorder="1" applyProtection="1"/>
    <xf numFmtId="41" fontId="3" fillId="4" borderId="13" xfId="0" applyNumberFormat="1" applyFont="1" applyFill="1" applyBorder="1" applyProtection="1"/>
    <xf numFmtId="41" fontId="2" fillId="4" borderId="23" xfId="0" applyNumberFormat="1" applyFont="1" applyFill="1" applyBorder="1" applyProtection="1"/>
    <xf numFmtId="41" fontId="3" fillId="4" borderId="30" xfId="0" applyNumberFormat="1" applyFont="1" applyFill="1" applyBorder="1" applyProtection="1"/>
    <xf numFmtId="41" fontId="2" fillId="4" borderId="40" xfId="0" applyNumberFormat="1" applyFont="1" applyFill="1" applyBorder="1" applyProtection="1"/>
    <xf numFmtId="41" fontId="3" fillId="4" borderId="24" xfId="0" applyNumberFormat="1" applyFont="1" applyFill="1" applyBorder="1" applyProtection="1"/>
    <xf numFmtId="41" fontId="2" fillId="4" borderId="20" xfId="0" applyNumberFormat="1" applyFont="1" applyFill="1" applyBorder="1" applyProtection="1"/>
    <xf numFmtId="41" fontId="2" fillId="0" borderId="11" xfId="0" applyNumberFormat="1" applyFont="1" applyFill="1" applyBorder="1" applyProtection="1">
      <protection locked="0"/>
    </xf>
    <xf numFmtId="41" fontId="2" fillId="0" borderId="34" xfId="0" applyNumberFormat="1" applyFont="1" applyFill="1" applyBorder="1" applyProtection="1">
      <protection locked="0"/>
    </xf>
    <xf numFmtId="41" fontId="3" fillId="2" borderId="38" xfId="0" applyNumberFormat="1" applyFont="1" applyFill="1" applyBorder="1" applyProtection="1"/>
    <xf numFmtId="41" fontId="3" fillId="2" borderId="19" xfId="0" applyNumberFormat="1" applyFont="1" applyFill="1" applyBorder="1" applyProtection="1"/>
    <xf numFmtId="41" fontId="3" fillId="5" borderId="38" xfId="0" applyNumberFormat="1" applyFont="1" applyFill="1" applyBorder="1" applyProtection="1"/>
    <xf numFmtId="41" fontId="3" fillId="5" borderId="19" xfId="0" applyNumberFormat="1" applyFont="1" applyFill="1" applyBorder="1" applyProtection="1"/>
    <xf numFmtId="41" fontId="2" fillId="0" borderId="30" xfId="0" applyNumberFormat="1" applyFont="1" applyBorder="1" applyProtection="1">
      <protection locked="0"/>
    </xf>
    <xf numFmtId="41" fontId="2" fillId="0" borderId="30" xfId="0" applyNumberFormat="1" applyFont="1" applyFill="1" applyBorder="1" applyProtection="1">
      <protection locked="0"/>
    </xf>
    <xf numFmtId="41" fontId="2" fillId="0" borderId="30" xfId="1" applyNumberFormat="1" applyFont="1" applyBorder="1" applyProtection="1">
      <protection locked="0"/>
    </xf>
    <xf numFmtId="41" fontId="2" fillId="4" borderId="30" xfId="0" applyNumberFormat="1" applyFont="1" applyFill="1" applyBorder="1" applyProtection="1"/>
    <xf numFmtId="41" fontId="2" fillId="4" borderId="42" xfId="0" applyNumberFormat="1" applyFont="1" applyFill="1" applyBorder="1" applyProtection="1"/>
    <xf numFmtId="41" fontId="3" fillId="2" borderId="11" xfId="0" applyNumberFormat="1" applyFont="1" applyFill="1" applyBorder="1" applyProtection="1"/>
    <xf numFmtId="41" fontId="2" fillId="0" borderId="36" xfId="0" applyNumberFormat="1" applyFont="1" applyBorder="1" applyProtection="1">
      <protection locked="0"/>
    </xf>
    <xf numFmtId="41" fontId="3" fillId="2" borderId="34" xfId="0" applyNumberFormat="1" applyFont="1" applyFill="1" applyBorder="1" applyProtection="1"/>
    <xf numFmtId="41" fontId="2" fillId="0" borderId="36" xfId="0" applyNumberFormat="1" applyFont="1" applyFill="1" applyBorder="1" applyProtection="1">
      <protection locked="0"/>
    </xf>
    <xf numFmtId="41" fontId="2" fillId="4" borderId="9" xfId="0" applyNumberFormat="1" applyFont="1" applyFill="1" applyBorder="1" applyAlignment="1" applyProtection="1">
      <alignment horizontal="right"/>
    </xf>
    <xf numFmtId="41" fontId="2" fillId="4" borderId="34" xfId="0" applyNumberFormat="1" applyFont="1" applyFill="1" applyBorder="1" applyAlignment="1" applyProtection="1">
      <alignment horizontal="right"/>
    </xf>
    <xf numFmtId="41" fontId="3" fillId="4" borderId="8" xfId="0" applyNumberFormat="1" applyFont="1" applyFill="1" applyBorder="1" applyProtection="1"/>
    <xf numFmtId="41" fontId="2" fillId="0" borderId="10" xfId="0" applyNumberFormat="1" applyFont="1" applyBorder="1" applyProtection="1">
      <protection locked="0"/>
    </xf>
    <xf numFmtId="41" fontId="2" fillId="4" borderId="33" xfId="0" applyNumberFormat="1" applyFont="1" applyFill="1" applyBorder="1" applyProtection="1"/>
    <xf numFmtId="41" fontId="3" fillId="2" borderId="37" xfId="0" applyNumberFormat="1" applyFont="1" applyFill="1" applyBorder="1" applyProtection="1"/>
    <xf numFmtId="41" fontId="2" fillId="4" borderId="21" xfId="0" applyNumberFormat="1" applyFont="1" applyFill="1" applyBorder="1" applyProtection="1"/>
    <xf numFmtId="41" fontId="3" fillId="2" borderId="10" xfId="0" applyNumberFormat="1" applyFont="1" applyFill="1" applyBorder="1" applyProtection="1"/>
    <xf numFmtId="0" fontId="6" fillId="0" borderId="32" xfId="0" applyFont="1" applyBorder="1" applyAlignment="1" applyProtection="1">
      <alignment horizontal="center"/>
      <protection locked="0"/>
    </xf>
    <xf numFmtId="41" fontId="2" fillId="0" borderId="24" xfId="0" applyNumberFormat="1" applyFont="1" applyBorder="1" applyProtection="1">
      <protection locked="0"/>
    </xf>
    <xf numFmtId="41" fontId="2" fillId="0" borderId="24" xfId="0" applyNumberFormat="1" applyFont="1" applyFill="1" applyBorder="1" applyProtection="1">
      <protection locked="0"/>
    </xf>
    <xf numFmtId="41" fontId="2" fillId="0" borderId="11" xfId="0" applyNumberFormat="1" applyFont="1" applyBorder="1" applyProtection="1">
      <protection locked="0"/>
    </xf>
    <xf numFmtId="41" fontId="2" fillId="4" borderId="32" xfId="0" applyNumberFormat="1" applyFont="1" applyFill="1" applyBorder="1" applyProtection="1"/>
    <xf numFmtId="41" fontId="2" fillId="4" borderId="12" xfId="0" applyNumberFormat="1" applyFont="1" applyFill="1" applyBorder="1" applyProtection="1"/>
    <xf numFmtId="41" fontId="3" fillId="4" borderId="7" xfId="0" applyNumberFormat="1" applyFont="1" applyFill="1" applyBorder="1" applyProtection="1"/>
    <xf numFmtId="41" fontId="2" fillId="4" borderId="13" xfId="1" applyNumberFormat="1" applyFont="1" applyFill="1" applyBorder="1" applyProtection="1"/>
    <xf numFmtId="0" fontId="6" fillId="0" borderId="55" xfId="0" applyFont="1" applyBorder="1" applyAlignment="1" applyProtection="1">
      <alignment horizontal="center"/>
      <protection locked="0"/>
    </xf>
    <xf numFmtId="41" fontId="3" fillId="4" borderId="24" xfId="1" applyNumberFormat="1" applyFont="1" applyFill="1" applyBorder="1" applyProtection="1"/>
    <xf numFmtId="41" fontId="2" fillId="0" borderId="24" xfId="1" applyNumberFormat="1" applyFont="1" applyBorder="1" applyProtection="1">
      <protection locked="0"/>
    </xf>
    <xf numFmtId="41" fontId="2" fillId="4" borderId="24" xfId="0" applyNumberFormat="1" applyFont="1" applyFill="1" applyBorder="1" applyProtection="1"/>
    <xf numFmtId="41" fontId="2" fillId="0" borderId="41" xfId="0" applyNumberFormat="1" applyFont="1" applyFill="1" applyBorder="1" applyProtection="1">
      <protection locked="0"/>
    </xf>
    <xf numFmtId="41" fontId="2" fillId="0" borderId="21" xfId="0" applyNumberFormat="1" applyFont="1" applyFill="1" applyBorder="1" applyProtection="1">
      <protection locked="0"/>
    </xf>
    <xf numFmtId="41" fontId="3" fillId="4" borderId="26" xfId="1" applyNumberFormat="1" applyFont="1" applyFill="1" applyBorder="1" applyProtection="1"/>
    <xf numFmtId="41" fontId="2" fillId="0" borderId="10" xfId="0" applyNumberFormat="1" applyFont="1" applyFill="1" applyBorder="1" applyProtection="1">
      <protection locked="0"/>
    </xf>
    <xf numFmtId="41" fontId="2" fillId="0" borderId="4" xfId="0" applyNumberFormat="1" applyFont="1" applyFill="1" applyBorder="1" applyProtection="1"/>
    <xf numFmtId="166" fontId="2" fillId="0" borderId="4" xfId="0" applyNumberFormat="1" applyFont="1" applyFill="1" applyBorder="1" applyProtection="1"/>
    <xf numFmtId="41" fontId="2" fillId="0" borderId="9" xfId="0" applyNumberFormat="1" applyFont="1" applyFill="1" applyBorder="1" applyProtection="1"/>
    <xf numFmtId="166" fontId="2" fillId="0" borderId="27" xfId="0" applyNumberFormat="1" applyFont="1" applyFill="1" applyBorder="1" applyProtection="1"/>
    <xf numFmtId="166" fontId="2" fillId="0" borderId="24" xfId="0" applyNumberFormat="1" applyFont="1" applyFill="1" applyBorder="1" applyProtection="1"/>
    <xf numFmtId="41" fontId="2" fillId="0" borderId="13" xfId="0" applyNumberFormat="1" applyFont="1" applyFill="1" applyBorder="1" applyProtection="1"/>
    <xf numFmtId="41" fontId="2" fillId="0" borderId="8" xfId="0" applyNumberFormat="1" applyFont="1" applyFill="1" applyBorder="1" applyProtection="1"/>
    <xf numFmtId="41" fontId="2" fillId="0" borderId="24" xfId="0" applyNumberFormat="1" applyFont="1" applyFill="1" applyBorder="1" applyProtection="1"/>
    <xf numFmtId="41" fontId="2" fillId="4" borderId="55" xfId="0" applyNumberFormat="1" applyFont="1" applyFill="1" applyBorder="1" applyProtection="1"/>
    <xf numFmtId="41" fontId="2" fillId="4" borderId="39" xfId="0" applyNumberFormat="1" applyFont="1" applyFill="1" applyBorder="1" applyProtection="1"/>
    <xf numFmtId="41" fontId="3" fillId="5" borderId="34" xfId="0" applyNumberFormat="1" applyFont="1" applyFill="1" applyBorder="1" applyProtection="1"/>
    <xf numFmtId="0" fontId="6" fillId="0" borderId="48" xfId="0" applyFont="1" applyBorder="1" applyAlignment="1" applyProtection="1">
      <alignment horizontal="center"/>
      <protection locked="0"/>
    </xf>
    <xf numFmtId="41" fontId="2" fillId="4" borderId="48" xfId="0" applyNumberFormat="1" applyFont="1" applyFill="1" applyBorder="1" applyProtection="1"/>
    <xf numFmtId="41" fontId="3" fillId="5" borderId="36" xfId="0" applyNumberFormat="1" applyFont="1" applyFill="1" applyBorder="1" applyProtection="1"/>
    <xf numFmtId="41" fontId="3" fillId="4" borderId="9" xfId="0" applyNumberFormat="1" applyFont="1" applyFill="1" applyBorder="1" applyAlignment="1" applyProtection="1">
      <alignment horizontal="center"/>
    </xf>
    <xf numFmtId="41" fontId="2" fillId="4" borderId="58" xfId="0" applyNumberFormat="1" applyFont="1" applyFill="1" applyBorder="1" applyProtection="1"/>
    <xf numFmtId="0" fontId="3" fillId="4" borderId="30" xfId="0" applyFont="1" applyFill="1" applyBorder="1" applyAlignment="1">
      <alignment horizontal="right" wrapText="1"/>
    </xf>
    <xf numFmtId="0" fontId="3" fillId="4" borderId="30" xfId="0" applyFont="1" applyFill="1" applyBorder="1" applyAlignment="1" applyProtection="1">
      <alignment horizontal="right" wrapText="1"/>
    </xf>
    <xf numFmtId="0" fontId="3" fillId="4" borderId="36" xfId="0" applyFont="1" applyFill="1" applyBorder="1" applyAlignment="1" applyProtection="1">
      <alignment horizontal="right" wrapText="1"/>
    </xf>
    <xf numFmtId="0" fontId="3" fillId="4" borderId="37" xfId="0" applyFont="1" applyFill="1" applyBorder="1" applyAlignment="1">
      <alignment horizontal="right" wrapText="1"/>
    </xf>
    <xf numFmtId="0" fontId="3" fillId="4" borderId="26" xfId="0" applyFont="1" applyFill="1" applyBorder="1" applyAlignment="1" applyProtection="1">
      <alignment horizontal="right" wrapText="1"/>
    </xf>
    <xf numFmtId="0" fontId="3" fillId="4" borderId="26" xfId="0" applyFont="1" applyFill="1" applyBorder="1" applyAlignment="1">
      <alignment horizontal="right" wrapText="1"/>
    </xf>
    <xf numFmtId="0" fontId="3" fillId="2" borderId="25" xfId="0" applyFont="1" applyFill="1" applyBorder="1" applyAlignment="1" applyProtection="1">
      <alignment horizontal="center"/>
    </xf>
    <xf numFmtId="0" fontId="3" fillId="2" borderId="28" xfId="0" applyFont="1" applyFill="1" applyBorder="1" applyAlignment="1" applyProtection="1">
      <alignment horizontal="center"/>
    </xf>
    <xf numFmtId="0" fontId="2" fillId="6" borderId="25" xfId="3" applyNumberFormat="1" applyFont="1" applyFill="1" applyBorder="1" applyAlignment="1" applyProtection="1">
      <alignment horizontal="center"/>
    </xf>
    <xf numFmtId="0" fontId="2" fillId="6" borderId="28" xfId="3" applyNumberFormat="1" applyFont="1" applyFill="1" applyBorder="1" applyAlignment="1" applyProtection="1">
      <alignment horizontal="center"/>
    </xf>
    <xf numFmtId="0" fontId="2" fillId="6" borderId="29" xfId="3" applyNumberFormat="1" applyFont="1" applyFill="1" applyBorder="1" applyAlignment="1" applyProtection="1">
      <alignment horizontal="center"/>
    </xf>
    <xf numFmtId="0" fontId="3" fillId="2" borderId="2" xfId="0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3" fillId="2" borderId="3" xfId="0" applyFont="1" applyFill="1" applyBorder="1" applyAlignment="1" applyProtection="1">
      <alignment horizontal="center" vertical="center"/>
    </xf>
    <xf numFmtId="0" fontId="3" fillId="2" borderId="57" xfId="0" applyFont="1" applyFill="1" applyBorder="1" applyAlignment="1" applyProtection="1">
      <alignment horizontal="center" vertical="center"/>
    </xf>
    <xf numFmtId="0" fontId="3" fillId="2" borderId="52" xfId="0" applyFont="1" applyFill="1" applyBorder="1" applyAlignment="1" applyProtection="1">
      <alignment horizontal="center" vertical="center"/>
    </xf>
    <xf numFmtId="0" fontId="3" fillId="2" borderId="53" xfId="0" applyFont="1" applyFill="1" applyBorder="1" applyAlignment="1" applyProtection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3" borderId="13" xfId="0" applyFont="1" applyFill="1" applyBorder="1" applyAlignment="1" applyProtection="1">
      <alignment horizontal="right" wrapText="1"/>
    </xf>
    <xf numFmtId="0" fontId="3" fillId="3" borderId="30" xfId="0" applyFont="1" applyFill="1" applyBorder="1" applyAlignment="1" applyProtection="1">
      <alignment horizontal="right" wrapText="1"/>
    </xf>
    <xf numFmtId="0" fontId="3" fillId="3" borderId="24" xfId="0" applyFont="1" applyFill="1" applyBorder="1" applyAlignment="1" applyProtection="1">
      <alignment horizontal="right" wrapText="1"/>
    </xf>
    <xf numFmtId="0" fontId="3" fillId="3" borderId="13" xfId="0" applyFont="1" applyFill="1" applyBorder="1" applyAlignment="1">
      <alignment horizontal="right" wrapText="1"/>
    </xf>
    <xf numFmtId="0" fontId="3" fillId="3" borderId="30" xfId="0" applyFont="1" applyFill="1" applyBorder="1" applyAlignment="1">
      <alignment horizontal="right" wrapText="1"/>
    </xf>
    <xf numFmtId="0" fontId="3" fillId="3" borderId="24" xfId="0" applyFont="1" applyFill="1" applyBorder="1" applyAlignment="1">
      <alignment horizontal="right" wrapText="1"/>
    </xf>
    <xf numFmtId="0" fontId="3" fillId="0" borderId="35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3" borderId="19" xfId="0" applyFont="1" applyFill="1" applyBorder="1" applyAlignment="1" applyProtection="1">
      <alignment horizontal="right" wrapText="1"/>
    </xf>
    <xf numFmtId="0" fontId="3" fillId="3" borderId="36" xfId="0" applyFont="1" applyFill="1" applyBorder="1" applyAlignment="1" applyProtection="1">
      <alignment horizontal="right" wrapText="1"/>
    </xf>
    <xf numFmtId="0" fontId="3" fillId="3" borderId="41" xfId="0" applyFont="1" applyFill="1" applyBorder="1" applyAlignment="1" applyProtection="1">
      <alignment horizontal="right" wrapText="1"/>
    </xf>
    <xf numFmtId="0" fontId="3" fillId="2" borderId="47" xfId="0" applyFont="1" applyFill="1" applyBorder="1" applyAlignment="1" applyProtection="1">
      <alignment horizontal="center" vertical="center" wrapText="1"/>
    </xf>
    <xf numFmtId="0" fontId="3" fillId="2" borderId="46" xfId="0" applyFont="1" applyFill="1" applyBorder="1" applyAlignment="1" applyProtection="1">
      <alignment horizontal="center" vertical="center" wrapText="1"/>
    </xf>
    <xf numFmtId="0" fontId="3" fillId="2" borderId="12" xfId="0" applyFont="1" applyFill="1" applyBorder="1" applyAlignment="1" applyProtection="1">
      <alignment horizontal="center" vertical="center"/>
    </xf>
    <xf numFmtId="0" fontId="3" fillId="2" borderId="32" xfId="0" applyFont="1" applyFill="1" applyBorder="1" applyAlignment="1" applyProtection="1">
      <alignment horizontal="center" vertical="center"/>
    </xf>
    <xf numFmtId="0" fontId="3" fillId="2" borderId="48" xfId="0" applyFont="1" applyFill="1" applyBorder="1" applyAlignment="1" applyProtection="1">
      <alignment horizontal="center" vertical="center"/>
    </xf>
    <xf numFmtId="0" fontId="5" fillId="0" borderId="0" xfId="0" applyFont="1" applyAlignment="1" applyProtection="1">
      <alignment horizontal="right" vertical="center" wrapText="1"/>
    </xf>
    <xf numFmtId="0" fontId="5" fillId="0" borderId="52" xfId="0" applyFont="1" applyBorder="1" applyAlignment="1" applyProtection="1">
      <alignment horizontal="right" vertical="center" wrapText="1"/>
    </xf>
    <xf numFmtId="0" fontId="3" fillId="0" borderId="25" xfId="0" applyFont="1" applyBorder="1" applyAlignment="1" applyProtection="1">
      <alignment horizontal="center" wrapText="1"/>
    </xf>
    <xf numFmtId="0" fontId="3" fillId="0" borderId="28" xfId="0" applyFont="1" applyBorder="1" applyAlignment="1" applyProtection="1">
      <alignment horizontal="center" wrapText="1"/>
    </xf>
    <xf numFmtId="0" fontId="3" fillId="0" borderId="29" xfId="0" applyFont="1" applyBorder="1" applyAlignment="1" applyProtection="1">
      <alignment horizontal="center" wrapText="1"/>
    </xf>
    <xf numFmtId="0" fontId="3" fillId="2" borderId="31" xfId="0" applyFont="1" applyFill="1" applyBorder="1" applyAlignment="1" applyProtection="1">
      <alignment horizontal="center" vertical="center"/>
    </xf>
    <xf numFmtId="0" fontId="3" fillId="2" borderId="33" xfId="0" applyFont="1" applyFill="1" applyBorder="1" applyAlignment="1" applyProtection="1">
      <alignment horizontal="center" vertical="center"/>
    </xf>
    <xf numFmtId="0" fontId="3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3" fillId="0" borderId="23" xfId="0" applyFont="1" applyBorder="1" applyAlignment="1" applyProtection="1">
      <alignment horizontal="center" vertical="center" wrapText="1"/>
    </xf>
    <xf numFmtId="0" fontId="3" fillId="0" borderId="20" xfId="0" applyFont="1" applyBorder="1" applyAlignment="1" applyProtection="1">
      <alignment horizontal="center" vertical="center" wrapText="1"/>
    </xf>
    <xf numFmtId="0" fontId="3" fillId="0" borderId="52" xfId="0" applyFont="1" applyFill="1" applyBorder="1" applyAlignment="1">
      <alignment horizontal="center"/>
    </xf>
    <xf numFmtId="0" fontId="3" fillId="0" borderId="53" xfId="0" applyFont="1" applyFill="1" applyBorder="1" applyAlignment="1">
      <alignment horizontal="center"/>
    </xf>
    <xf numFmtId="0" fontId="3" fillId="0" borderId="44" xfId="0" applyFont="1" applyFill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7" fillId="0" borderId="25" xfId="0" applyFont="1" applyBorder="1" applyAlignment="1" applyProtection="1">
      <alignment horizontal="center"/>
      <protection locked="0"/>
    </xf>
    <xf numFmtId="0" fontId="7" fillId="0" borderId="28" xfId="0" applyFont="1" applyBorder="1" applyAlignment="1" applyProtection="1">
      <alignment horizontal="center"/>
      <protection locked="0"/>
    </xf>
    <xf numFmtId="0" fontId="7" fillId="0" borderId="29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 wrapText="1"/>
    </xf>
    <xf numFmtId="0" fontId="8" fillId="0" borderId="25" xfId="0" applyFont="1" applyBorder="1" applyAlignment="1" applyProtection="1">
      <alignment horizontal="center"/>
      <protection locked="0"/>
    </xf>
    <xf numFmtId="0" fontId="8" fillId="0" borderId="28" xfId="0" applyFont="1" applyBorder="1" applyAlignment="1" applyProtection="1">
      <alignment horizontal="center"/>
      <protection locked="0"/>
    </xf>
    <xf numFmtId="0" fontId="8" fillId="0" borderId="29" xfId="0" applyFont="1" applyBorder="1" applyAlignment="1" applyProtection="1">
      <alignment horizontal="center"/>
      <protection locked="0"/>
    </xf>
    <xf numFmtId="0" fontId="7" fillId="0" borderId="2" xfId="0" applyFont="1" applyBorder="1" applyAlignment="1" applyProtection="1">
      <alignment horizontal="center"/>
      <protection locked="0"/>
    </xf>
    <xf numFmtId="0" fontId="7" fillId="0" borderId="1" xfId="0" applyFont="1" applyBorder="1" applyAlignment="1" applyProtection="1">
      <alignment horizontal="center"/>
      <protection locked="0"/>
    </xf>
    <xf numFmtId="0" fontId="7" fillId="0" borderId="3" xfId="0" applyFont="1" applyBorder="1" applyAlignment="1" applyProtection="1">
      <alignment horizontal="center"/>
      <protection locked="0"/>
    </xf>
    <xf numFmtId="17" fontId="3" fillId="0" borderId="28" xfId="0" applyNumberFormat="1" applyFont="1" applyBorder="1" applyAlignment="1" applyProtection="1">
      <alignment horizontal="center" wrapText="1"/>
    </xf>
  </cellXfs>
  <cellStyles count="4">
    <cellStyle name="Comma" xfId="1" builtinId="3"/>
    <cellStyle name="Normal" xfId="0" builtinId="0"/>
    <cellStyle name="Normal 2" xfId="2"/>
    <cellStyle name="Percent" xfId="3" builtinId="5"/>
  </cellStyles>
  <dxfs count="381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ill>
        <patternFill>
          <bgColor theme="9" tint="0.39994506668294322"/>
        </patternFill>
      </fill>
    </dxf>
    <dxf>
      <font>
        <color theme="5"/>
      </font>
      <fill>
        <patternFill>
          <fgColor auto="1"/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theme="5"/>
      </font>
      <fill>
        <patternFill>
          <fgColor auto="1"/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theme="5"/>
      </font>
      <fill>
        <patternFill>
          <fgColor auto="1"/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theme="5"/>
      </font>
      <fill>
        <patternFill>
          <fgColor auto="1"/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theme="5"/>
      </font>
      <fill>
        <patternFill>
          <fgColor auto="1"/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theme="5"/>
      </font>
      <fill>
        <patternFill>
          <fgColor auto="1"/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theme="5"/>
      </font>
      <fill>
        <patternFill>
          <fgColor auto="1"/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5"/>
      </font>
      <fill>
        <patternFill>
          <fgColor auto="1"/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theme="5"/>
      </font>
      <fill>
        <patternFill>
          <fgColor auto="1"/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theme="5"/>
      </font>
      <fill>
        <patternFill>
          <fgColor auto="1"/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theme="5"/>
      </font>
      <fill>
        <patternFill>
          <fgColor auto="1"/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theme="5"/>
      </font>
      <fill>
        <patternFill>
          <fgColor auto="1"/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theme="5"/>
      </font>
      <fill>
        <patternFill>
          <fgColor auto="1"/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theme="5"/>
      </font>
      <fill>
        <patternFill>
          <fgColor auto="1"/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theme="5"/>
      </font>
      <fill>
        <patternFill>
          <fgColor auto="1"/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theme="5"/>
      </font>
      <fill>
        <patternFill>
          <fgColor auto="1"/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theme="5"/>
      </font>
      <fill>
        <patternFill>
          <fgColor auto="1"/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theme="5"/>
      </font>
      <fill>
        <patternFill>
          <fgColor auto="1"/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theme="5"/>
      </font>
      <fill>
        <patternFill>
          <fgColor auto="1"/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theme="5"/>
      </font>
      <fill>
        <patternFill>
          <fgColor auto="1"/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theme="5"/>
      </font>
      <fill>
        <patternFill>
          <fgColor auto="1"/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theme="5"/>
      </font>
      <fill>
        <patternFill>
          <fgColor auto="1"/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theme="5"/>
      </font>
      <fill>
        <patternFill>
          <fgColor auto="1"/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theme="5"/>
      </font>
      <fill>
        <patternFill>
          <fgColor auto="1"/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theme="5"/>
      </font>
      <fill>
        <patternFill>
          <fgColor auto="1"/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theme="5"/>
      </font>
      <fill>
        <patternFill>
          <fgColor auto="1"/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theme="5"/>
      </font>
      <fill>
        <patternFill>
          <fgColor auto="1"/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theme="5"/>
      </font>
      <fill>
        <patternFill>
          <fgColor auto="1"/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theme="5"/>
      </font>
      <fill>
        <patternFill>
          <fgColor auto="1"/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theme="5"/>
      </font>
      <fill>
        <patternFill>
          <fgColor auto="1"/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theme="5"/>
      </font>
      <fill>
        <patternFill>
          <fgColor auto="1"/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theme="5"/>
      </font>
      <fill>
        <patternFill>
          <fgColor auto="1"/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theme="5"/>
      </font>
      <fill>
        <patternFill>
          <fgColor auto="1"/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5"/>
      </font>
      <fill>
        <patternFill>
          <fgColor auto="1"/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5"/>
      </font>
      <fill>
        <patternFill>
          <fgColor auto="1"/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5"/>
      </font>
      <fill>
        <patternFill>
          <fgColor auto="1"/>
          <bgColor theme="6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IMKAMMA/Documents/Rehoboth/Centre%20Reports/2023/December_20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RM%20Numeric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Weekly Analysis"/>
      <sheetName val="Monthly Analysis"/>
      <sheetName val="WK1"/>
      <sheetName val="WK2 "/>
      <sheetName val="WK3"/>
      <sheetName val="WK4"/>
      <sheetName val="WK5"/>
      <sheetName val="Attendance"/>
    </sheetNames>
    <sheetDataSet>
      <sheetData sheetId="0">
        <row r="7">
          <cell r="I7">
            <v>212</v>
          </cell>
          <cell r="J7">
            <v>2</v>
          </cell>
        </row>
        <row r="8">
          <cell r="I8">
            <v>207</v>
          </cell>
          <cell r="J8">
            <v>16</v>
          </cell>
        </row>
        <row r="9">
          <cell r="I9">
            <v>13</v>
          </cell>
          <cell r="J9">
            <v>0</v>
          </cell>
        </row>
        <row r="10">
          <cell r="I10">
            <v>25</v>
          </cell>
          <cell r="J10">
            <v>12</v>
          </cell>
        </row>
        <row r="12">
          <cell r="I12">
            <v>205</v>
          </cell>
          <cell r="J12">
            <v>2</v>
          </cell>
        </row>
        <row r="13">
          <cell r="I13">
            <v>99</v>
          </cell>
          <cell r="J13">
            <v>13</v>
          </cell>
        </row>
        <row r="14">
          <cell r="I14">
            <v>99</v>
          </cell>
          <cell r="J14">
            <v>18</v>
          </cell>
        </row>
        <row r="15">
          <cell r="I15">
            <v>14</v>
          </cell>
          <cell r="J15">
            <v>0</v>
          </cell>
        </row>
        <row r="17">
          <cell r="I17">
            <v>161</v>
          </cell>
          <cell r="J17">
            <v>18</v>
          </cell>
        </row>
        <row r="18">
          <cell r="I18">
            <v>205</v>
          </cell>
          <cell r="J18">
            <v>0</v>
          </cell>
        </row>
        <row r="19">
          <cell r="I19">
            <v>48</v>
          </cell>
          <cell r="J19">
            <v>2</v>
          </cell>
        </row>
        <row r="20">
          <cell r="I20">
            <v>15</v>
          </cell>
          <cell r="J20">
            <v>3</v>
          </cell>
        </row>
        <row r="21">
          <cell r="I21">
            <v>44</v>
          </cell>
          <cell r="J21">
            <v>7</v>
          </cell>
        </row>
        <row r="23">
          <cell r="I23">
            <v>82</v>
          </cell>
          <cell r="J23">
            <v>0</v>
          </cell>
        </row>
        <row r="24">
          <cell r="I24">
            <v>0</v>
          </cell>
          <cell r="J24">
            <v>0</v>
          </cell>
        </row>
        <row r="25">
          <cell r="I25">
            <v>144</v>
          </cell>
          <cell r="J25">
            <v>4</v>
          </cell>
        </row>
        <row r="26">
          <cell r="I26">
            <v>21</v>
          </cell>
          <cell r="J26">
            <v>2</v>
          </cell>
        </row>
        <row r="28">
          <cell r="I28">
            <v>86</v>
          </cell>
          <cell r="J28">
            <v>2</v>
          </cell>
        </row>
        <row r="29">
          <cell r="I29">
            <v>36</v>
          </cell>
          <cell r="J29">
            <v>6</v>
          </cell>
        </row>
        <row r="30">
          <cell r="I30">
            <v>111</v>
          </cell>
          <cell r="J30">
            <v>4</v>
          </cell>
        </row>
        <row r="31">
          <cell r="I31">
            <v>73</v>
          </cell>
          <cell r="J31">
            <v>0</v>
          </cell>
        </row>
        <row r="32">
          <cell r="I32">
            <v>43</v>
          </cell>
          <cell r="J32">
            <v>5</v>
          </cell>
        </row>
        <row r="33">
          <cell r="I33">
            <v>58</v>
          </cell>
          <cell r="J33">
            <v>0</v>
          </cell>
        </row>
        <row r="34">
          <cell r="I34">
            <v>70</v>
          </cell>
          <cell r="J34">
            <v>0</v>
          </cell>
        </row>
        <row r="35">
          <cell r="I35">
            <v>39</v>
          </cell>
          <cell r="J35">
            <v>7</v>
          </cell>
        </row>
        <row r="36">
          <cell r="I36">
            <v>17</v>
          </cell>
          <cell r="J36">
            <v>5</v>
          </cell>
        </row>
        <row r="38">
          <cell r="I38">
            <v>388</v>
          </cell>
          <cell r="J38">
            <v>21</v>
          </cell>
        </row>
        <row r="39">
          <cell r="I39">
            <v>12</v>
          </cell>
          <cell r="J39">
            <v>0</v>
          </cell>
        </row>
        <row r="40">
          <cell r="I40">
            <v>22</v>
          </cell>
          <cell r="J40">
            <v>0</v>
          </cell>
        </row>
        <row r="41">
          <cell r="I41">
            <v>24</v>
          </cell>
          <cell r="J41">
            <v>0</v>
          </cell>
        </row>
        <row r="42">
          <cell r="I42">
            <v>14</v>
          </cell>
          <cell r="J42">
            <v>0</v>
          </cell>
        </row>
        <row r="43">
          <cell r="I43">
            <v>8</v>
          </cell>
          <cell r="J43">
            <v>0</v>
          </cell>
        </row>
        <row r="44">
          <cell r="I44">
            <v>28</v>
          </cell>
          <cell r="J44">
            <v>1</v>
          </cell>
        </row>
        <row r="45">
          <cell r="I45">
            <v>13</v>
          </cell>
          <cell r="J45">
            <v>0</v>
          </cell>
        </row>
        <row r="46">
          <cell r="I46">
            <v>8</v>
          </cell>
          <cell r="J46">
            <v>0</v>
          </cell>
        </row>
        <row r="47">
          <cell r="I47">
            <v>4</v>
          </cell>
          <cell r="J47">
            <v>0</v>
          </cell>
        </row>
        <row r="48">
          <cell r="I48">
            <v>8</v>
          </cell>
          <cell r="J48">
            <v>0</v>
          </cell>
        </row>
        <row r="49">
          <cell r="I49">
            <v>10</v>
          </cell>
          <cell r="J49">
            <v>0</v>
          </cell>
        </row>
        <row r="50">
          <cell r="I50">
            <v>41</v>
          </cell>
          <cell r="J50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3">
          <cell r="G3">
            <v>321</v>
          </cell>
          <cell r="J3">
            <v>90.831918505942269</v>
          </cell>
        </row>
        <row r="4">
          <cell r="G4">
            <v>268</v>
          </cell>
          <cell r="J4">
            <v>75.834748160724388</v>
          </cell>
        </row>
        <row r="5">
          <cell r="G5">
            <v>14</v>
          </cell>
          <cell r="J5">
            <v>13.961516694963215</v>
          </cell>
        </row>
        <row r="6">
          <cell r="G6">
            <v>26</v>
          </cell>
          <cell r="J6">
            <v>17.357102433503115</v>
          </cell>
        </row>
        <row r="8">
          <cell r="G8">
            <v>315</v>
          </cell>
          <cell r="J8">
            <v>89.134125636672309</v>
          </cell>
        </row>
        <row r="9">
          <cell r="G9">
            <v>86</v>
          </cell>
          <cell r="J9">
            <v>24.335031126202601</v>
          </cell>
        </row>
        <row r="10">
          <cell r="G10">
            <v>58</v>
          </cell>
          <cell r="J10">
            <v>16.411997736276174</v>
          </cell>
        </row>
        <row r="11">
          <cell r="G11">
            <v>13</v>
          </cell>
          <cell r="J11">
            <v>13.678551216751558</v>
          </cell>
        </row>
        <row r="13">
          <cell r="G13">
            <v>205</v>
          </cell>
          <cell r="J13">
            <v>58.007923033389929</v>
          </cell>
        </row>
        <row r="14">
          <cell r="G14">
            <v>303</v>
          </cell>
          <cell r="J14">
            <v>85.73853989813243</v>
          </cell>
        </row>
        <row r="15">
          <cell r="G15">
            <v>57</v>
          </cell>
          <cell r="J15">
            <v>16.129032258064516</v>
          </cell>
        </row>
        <row r="16">
          <cell r="G16">
            <v>14</v>
          </cell>
          <cell r="J16">
            <v>13.961516694963215</v>
          </cell>
        </row>
        <row r="17">
          <cell r="G17">
            <v>85</v>
          </cell>
          <cell r="J17">
            <v>24.052065647990947</v>
          </cell>
        </row>
        <row r="19">
          <cell r="G19">
            <v>134</v>
          </cell>
          <cell r="J19">
            <v>37.917374080362194</v>
          </cell>
        </row>
        <row r="20">
          <cell r="G20">
            <v>37</v>
          </cell>
          <cell r="J20">
            <v>10.469722693831351</v>
          </cell>
        </row>
        <row r="21">
          <cell r="G21">
            <v>223</v>
          </cell>
          <cell r="J21">
            <v>63.101301641199775</v>
          </cell>
        </row>
        <row r="22">
          <cell r="G22">
            <v>29</v>
          </cell>
          <cell r="J22">
            <v>18.205998868138089</v>
          </cell>
        </row>
        <row r="24">
          <cell r="G24">
            <v>90</v>
          </cell>
          <cell r="J24">
            <v>25.466893039049236</v>
          </cell>
        </row>
        <row r="25">
          <cell r="G25">
            <v>55</v>
          </cell>
          <cell r="J25">
            <v>15.563101301641201</v>
          </cell>
        </row>
        <row r="26">
          <cell r="G26">
            <v>130</v>
          </cell>
          <cell r="J26">
            <v>36.785512167515563</v>
          </cell>
        </row>
        <row r="27">
          <cell r="G27">
            <v>102</v>
          </cell>
          <cell r="J27">
            <v>28.862478777589132</v>
          </cell>
        </row>
        <row r="28">
          <cell r="G28">
            <v>93</v>
          </cell>
          <cell r="J28">
            <v>26.315789473684209</v>
          </cell>
        </row>
        <row r="29">
          <cell r="G29">
            <v>79</v>
          </cell>
          <cell r="J29">
            <v>22.354272778720997</v>
          </cell>
        </row>
        <row r="30">
          <cell r="G30">
            <v>81</v>
          </cell>
          <cell r="J30">
            <v>22.920203735144312</v>
          </cell>
        </row>
        <row r="31">
          <cell r="G31">
            <v>45</v>
          </cell>
          <cell r="J31">
            <v>12.733446519524618</v>
          </cell>
        </row>
        <row r="32">
          <cell r="G32">
            <v>25</v>
          </cell>
          <cell r="J32">
            <v>17.074136955291454</v>
          </cell>
        </row>
        <row r="34">
          <cell r="G34">
            <v>415</v>
          </cell>
          <cell r="J34">
            <v>117.43067345783814</v>
          </cell>
        </row>
        <row r="35">
          <cell r="G35">
            <v>11</v>
          </cell>
          <cell r="J35">
            <v>13.11262026032824</v>
          </cell>
        </row>
        <row r="36">
          <cell r="G36">
            <v>0</v>
          </cell>
          <cell r="J36">
            <v>10</v>
          </cell>
        </row>
        <row r="37">
          <cell r="G37">
            <v>42</v>
          </cell>
          <cell r="J37">
            <v>11.884550084889643</v>
          </cell>
        </row>
        <row r="38">
          <cell r="G38">
            <v>20</v>
          </cell>
          <cell r="J38">
            <v>15.659309564233164</v>
          </cell>
        </row>
        <row r="39">
          <cell r="G39">
            <v>13</v>
          </cell>
          <cell r="J39">
            <v>13.678551216751558</v>
          </cell>
        </row>
        <row r="40">
          <cell r="G40">
            <v>22</v>
          </cell>
          <cell r="J40">
            <v>10</v>
          </cell>
        </row>
        <row r="41">
          <cell r="G41">
            <v>11</v>
          </cell>
          <cell r="J41">
            <v>10</v>
          </cell>
        </row>
        <row r="42">
          <cell r="G42">
            <v>8</v>
          </cell>
          <cell r="J42">
            <v>12.263723825693265</v>
          </cell>
        </row>
        <row r="43">
          <cell r="G43">
            <v>15</v>
          </cell>
          <cell r="J43">
            <v>19.244482173174873</v>
          </cell>
        </row>
        <row r="44">
          <cell r="G44">
            <v>11</v>
          </cell>
          <cell r="J44">
            <v>13.11262026032824</v>
          </cell>
        </row>
        <row r="45">
          <cell r="G45">
            <v>31</v>
          </cell>
          <cell r="J45">
            <v>18.771929824561404</v>
          </cell>
        </row>
        <row r="46">
          <cell r="G46">
            <v>47</v>
          </cell>
          <cell r="J46">
            <v>13.299377475947935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B52"/>
  <sheetViews>
    <sheetView showGridLines="0" tabSelected="1" zoomScale="90" zoomScaleNormal="90" workbookViewId="0">
      <pane xSplit="5" ySplit="6" topLeftCell="F7" activePane="bottomRight" state="frozen"/>
      <selection activeCell="C1" sqref="C1"/>
      <selection pane="topRight" activeCell="F1" sqref="F1"/>
      <selection pane="bottomLeft" activeCell="C5" sqref="C5"/>
      <selection pane="bottomRight" activeCell="N46" sqref="N46"/>
    </sheetView>
  </sheetViews>
  <sheetFormatPr defaultRowHeight="14.25" x14ac:dyDescent="0.2"/>
  <cols>
    <col min="1" max="1" width="15.7109375" style="1" hidden="1" customWidth="1"/>
    <col min="2" max="2" width="20.140625" style="1" hidden="1" customWidth="1"/>
    <col min="3" max="3" width="20.5703125" style="5" hidden="1" customWidth="1"/>
    <col min="4" max="4" width="24.85546875" style="5" hidden="1" customWidth="1"/>
    <col min="5" max="5" width="23.7109375" style="5" customWidth="1"/>
    <col min="6" max="6" width="14.28515625" style="5" customWidth="1"/>
    <col min="7" max="7" width="14.42578125" style="5" customWidth="1"/>
    <col min="8" max="10" width="13" style="5" customWidth="1"/>
    <col min="11" max="11" width="16.5703125" style="5" customWidth="1"/>
    <col min="12" max="13" width="15.140625" style="5" customWidth="1"/>
    <col min="14" max="14" width="21.42578125" style="5" customWidth="1"/>
    <col min="15" max="15" width="20.85546875" style="5" customWidth="1"/>
    <col min="16" max="17" width="18" style="1" customWidth="1"/>
    <col min="18" max="18" width="20.28515625" style="1" customWidth="1"/>
    <col min="19" max="19" width="13.42578125" style="1" customWidth="1"/>
    <col min="20" max="20" width="13.5703125" style="1" customWidth="1"/>
    <col min="21" max="22" width="13.28515625" style="1" customWidth="1"/>
    <col min="23" max="23" width="13.42578125" style="1" customWidth="1"/>
    <col min="24" max="24" width="12.28515625" style="1" customWidth="1"/>
    <col min="25" max="25" width="13.28515625" style="1" customWidth="1"/>
    <col min="26" max="26" width="14.5703125" style="1" customWidth="1"/>
    <col min="27" max="27" width="12.28515625" style="1" customWidth="1"/>
    <col min="28" max="28" width="12" style="1" customWidth="1"/>
    <col min="29" max="16384" width="9.140625" style="1"/>
  </cols>
  <sheetData>
    <row r="1" spans="1:28" s="5" customFormat="1" ht="14.25" customHeight="1" x14ac:dyDescent="0.2">
      <c r="A1" s="267"/>
      <c r="B1" s="267"/>
      <c r="C1" s="267"/>
      <c r="D1" s="267"/>
      <c r="E1" s="267"/>
    </row>
    <row r="2" spans="1:28" s="5" customFormat="1" ht="14.25" customHeight="1" x14ac:dyDescent="0.2">
      <c r="A2" s="267"/>
      <c r="B2" s="267"/>
      <c r="C2" s="267"/>
      <c r="D2" s="267"/>
      <c r="E2" s="267"/>
    </row>
    <row r="3" spans="1:28" s="5" customFormat="1" ht="14.25" customHeight="1" thickBot="1" x14ac:dyDescent="0.25">
      <c r="A3" s="268"/>
      <c r="B3" s="268"/>
      <c r="C3" s="268"/>
      <c r="D3" s="268"/>
      <c r="E3" s="268"/>
    </row>
    <row r="4" spans="1:28" ht="15.75" customHeight="1" thickBot="1" x14ac:dyDescent="0.25">
      <c r="A4" s="269" t="s">
        <v>180</v>
      </c>
      <c r="B4" s="270"/>
      <c r="C4" s="270"/>
      <c r="D4" s="270"/>
      <c r="E4" s="271"/>
      <c r="F4" s="238" t="s">
        <v>118</v>
      </c>
      <c r="G4" s="239"/>
      <c r="H4" s="239"/>
      <c r="I4" s="239"/>
      <c r="J4" s="239"/>
      <c r="K4" s="239"/>
      <c r="L4" s="239"/>
      <c r="M4" s="239"/>
      <c r="N4" s="239"/>
      <c r="O4" s="239"/>
      <c r="P4" s="239"/>
      <c r="Q4" s="239"/>
      <c r="R4" s="239"/>
      <c r="S4" s="243" t="s">
        <v>179</v>
      </c>
      <c r="T4" s="244"/>
      <c r="U4" s="244"/>
      <c r="V4" s="244"/>
      <c r="W4" s="244"/>
      <c r="X4" s="244"/>
      <c r="Y4" s="244"/>
      <c r="Z4" s="244"/>
      <c r="AA4" s="244"/>
      <c r="AB4" s="245"/>
    </row>
    <row r="5" spans="1:28" ht="28.5" customHeight="1" thickBot="1" x14ac:dyDescent="0.25">
      <c r="A5" s="274" t="s">
        <v>66</v>
      </c>
      <c r="B5" s="275" t="s">
        <v>38</v>
      </c>
      <c r="C5" s="277" t="s">
        <v>39</v>
      </c>
      <c r="D5" s="277" t="s">
        <v>37</v>
      </c>
      <c r="E5" s="277" t="s">
        <v>0</v>
      </c>
      <c r="F5" s="264" t="s">
        <v>116</v>
      </c>
      <c r="G5" s="265"/>
      <c r="H5" s="265"/>
      <c r="I5" s="265"/>
      <c r="J5" s="265"/>
      <c r="K5" s="265"/>
      <c r="L5" s="266"/>
      <c r="M5" s="101"/>
      <c r="N5" s="264" t="s">
        <v>117</v>
      </c>
      <c r="O5" s="273"/>
      <c r="P5" s="272" t="s">
        <v>157</v>
      </c>
      <c r="Q5" s="273"/>
      <c r="R5" s="262" t="s">
        <v>158</v>
      </c>
      <c r="S5" s="246"/>
      <c r="T5" s="247"/>
      <c r="U5" s="247"/>
      <c r="V5" s="247"/>
      <c r="W5" s="247"/>
      <c r="X5" s="247"/>
      <c r="Y5" s="247"/>
      <c r="Z5" s="247"/>
      <c r="AA5" s="247"/>
      <c r="AB5" s="248"/>
    </row>
    <row r="6" spans="1:28" ht="42.75" customHeight="1" x14ac:dyDescent="0.2">
      <c r="A6" s="258"/>
      <c r="B6" s="276"/>
      <c r="C6" s="278"/>
      <c r="D6" s="278"/>
      <c r="E6" s="278"/>
      <c r="F6" s="24" t="s">
        <v>7</v>
      </c>
      <c r="G6" s="24" t="s">
        <v>8</v>
      </c>
      <c r="H6" s="24" t="s">
        <v>9</v>
      </c>
      <c r="I6" s="6" t="s">
        <v>10</v>
      </c>
      <c r="J6" s="13" t="s">
        <v>120</v>
      </c>
      <c r="K6" s="13" t="s">
        <v>123</v>
      </c>
      <c r="L6" s="13" t="s">
        <v>124</v>
      </c>
      <c r="M6" s="13" t="s">
        <v>174</v>
      </c>
      <c r="N6" s="6" t="s">
        <v>10</v>
      </c>
      <c r="O6" s="14" t="s">
        <v>121</v>
      </c>
      <c r="P6" s="62" t="s">
        <v>10</v>
      </c>
      <c r="Q6" s="14" t="s">
        <v>162</v>
      </c>
      <c r="R6" s="263"/>
      <c r="S6" s="117" t="s">
        <v>120</v>
      </c>
      <c r="T6" s="118" t="s">
        <v>123</v>
      </c>
      <c r="U6" s="118" t="s">
        <v>124</v>
      </c>
      <c r="V6" s="118" t="s">
        <v>174</v>
      </c>
      <c r="W6" s="118" t="s">
        <v>175</v>
      </c>
      <c r="X6" s="118" t="s">
        <v>186</v>
      </c>
      <c r="Y6" s="118" t="s">
        <v>176</v>
      </c>
      <c r="Z6" s="118" t="s">
        <v>158</v>
      </c>
      <c r="AA6" s="119" t="s">
        <v>177</v>
      </c>
      <c r="AB6" s="120" t="s">
        <v>178</v>
      </c>
    </row>
    <row r="7" spans="1:28" x14ac:dyDescent="0.2">
      <c r="A7" s="250" t="s">
        <v>129</v>
      </c>
      <c r="B7" s="2" t="s">
        <v>68</v>
      </c>
      <c r="C7" s="7">
        <v>8162286241</v>
      </c>
      <c r="D7" s="8" t="s">
        <v>50</v>
      </c>
      <c r="E7" s="9" t="s">
        <v>1</v>
      </c>
      <c r="F7" s="15">
        <f>ROUNDDOWN(SUM('WK1:WK5'!B6)/MAX(1,INDEX(FREQUENCY('WK1:WK5'!B6,0),2)),0)</f>
        <v>86</v>
      </c>
      <c r="G7" s="15">
        <f>ROUNDDOWN(SUM('WK1:WK5'!C6)/MAX(1,INDEX(FREQUENCY('WK1:WK5'!C6,0),2)),0)</f>
        <v>89</v>
      </c>
      <c r="H7" s="15">
        <f>ROUNDDOWN(SUM('WK1:WK5'!D6)/MAX(1,INDEX(FREQUENCY('WK1:WK5'!D6,0),2)),0)</f>
        <v>76</v>
      </c>
      <c r="I7" s="16">
        <f>SUM(F7:H7)</f>
        <v>251</v>
      </c>
      <c r="J7" s="17">
        <f>SUM('WK1:WK5'!O6)</f>
        <v>6</v>
      </c>
      <c r="K7" s="46">
        <f>IF(AND((SUM([1]Summary!J7,J7)&gt;0),[1]Summary!I7&gt;0),(I7-(([1]Summary!I7-[1]Summary!J7)-(L7*([1]Summary!I7-[1]Summary!J7))))/(IF(SUM([1]Summary!J7,J7)&gt;0,[1]Summary!J7+J7,0)),0%)</f>
        <v>0.75</v>
      </c>
      <c r="L7" s="46">
        <f>IF(([1]Summary!I7)&gt;0,(([1]Summary!I7-[1]Summary!J7)-(I7-J7))/(([1]Summary!I7-[1]Summary!J7)),100%)</f>
        <v>-0.16666666666666666</v>
      </c>
      <c r="M7" s="46">
        <f>IF(I7=0,0%,IF((I7-[2]Sheet1!$G3+([2]Sheet1!$J3/12*1))=0, 0%,(I7-[2]Sheet1!$G3+([2]Sheet1!$J3/12*1))/([2]Sheet1!$G3+([2]Sheet1!$J3/12*1))))</f>
        <v>-0.19000761305035294</v>
      </c>
      <c r="N7" s="18">
        <f>SUM('WK1:WK5'!M6)</f>
        <v>324340</v>
      </c>
      <c r="O7" s="10">
        <f>(SUM('WK1:WK5'!M6)/MAX(1,INDEX(FREQUENCY('WK1:WK5'!M6,0),2)))/IF(F7+G7&gt;0,F7+G7,"1")</f>
        <v>463.34285714285716</v>
      </c>
      <c r="P7" s="46">
        <f>SUM(IF(SUM('WK1:WK5'!J6)&gt;0,SUM('WK1:WK5'!T6)/((SUM('WK1:WK5'!J6)+SUM('WK1:WK5'!K6)+SUM('WK1:WK5'!P6))*0.3),0%),IF(SUM('WK1:WK5'!J6)&gt;0,SUM('WK1:WK5'!U6)/((SUM('WK1:WK5'!J6)+SUM('WK1:WK5'!K6)+SUM('WK1:WK5'!P6))*0.1),0%),IF(SUM('WK1:WK5'!J6)&gt;0,SUM('WK1:WK5'!V6)/((SUM('WK1:WK5'!J6)+SUM('WK1:WK5'!K6)+SUM('WK1:WK5'!P6))*0.3),0%))</f>
        <v>0</v>
      </c>
      <c r="Q7" s="79">
        <f>SUM('WK1:WK5'!Z6)/MAX(1,INDEX(FREQUENCY('WK1:WK5'!Z6,0),2))</f>
        <v>0</v>
      </c>
      <c r="R7" s="78">
        <f>IF(I7&gt;0,SUM('WK1:WK5'!AE6)/MAX(1,INDEX(FREQUENCY('WK1:WK5'!AE6,0),2))/I7,0)</f>
        <v>0</v>
      </c>
      <c r="S7" s="110">
        <f>RANK($J7,(J_Love,J_Maranatha,J_Goodnews,J_Heritage,J_Oyigbo,J_Revival))</f>
        <v>6</v>
      </c>
      <c r="T7" s="110">
        <f>RANK($K7,(K_Love,K_Maranatha,K_Goodnews,K_Heritage,K_Oyigbo,K_Revival))</f>
        <v>5</v>
      </c>
      <c r="U7" s="110">
        <f>RANK($L7,(L_Love,L_Maranatha,L_Goodnews,L_Heritage,L_Oyigbo,L_Revival),1)</f>
        <v>13</v>
      </c>
      <c r="V7" s="110">
        <f>RANK($M7,(M_Love,M_Maranatha,M_Goodnews,M_Heritage,M_Oyigbo,M_Revival))</f>
        <v>31</v>
      </c>
      <c r="W7" s="110">
        <f>RANK($O7,(O_Love,O_Maranatha,O_Goodnews,O_Heritage,O_Oyigbo,O_Revival))</f>
        <v>10</v>
      </c>
      <c r="X7" s="110">
        <f>RANK($P7,(P_Love,P_Maranatha,P_Goodnews,P_Heritage,P_Oyigbo,P_Revival))</f>
        <v>1</v>
      </c>
      <c r="Y7" s="110">
        <f>RANK($Q7,(Q_Love,Q_Maranatha,Q_Goodnews,Q_Heritage,Q_Oyigbo,Q_Revival))</f>
        <v>1</v>
      </c>
      <c r="Z7" s="110">
        <f>RANK($R7,(R_Love,R_Maranatha,R_Goodnews,R_Heritage,R_Oyigbo,R_Revival))</f>
        <v>1</v>
      </c>
      <c r="AA7" s="111">
        <f t="shared" ref="AA7:AA51" si="0">SUM(S7:Z7)</f>
        <v>68</v>
      </c>
      <c r="AB7" s="112">
        <f>RANK(AA7,(AD_Love,AD_Maranatha,AD_Goodnews,AD_Heritage,AD_Oyigbo,AD_Revival),1)</f>
        <v>11</v>
      </c>
    </row>
    <row r="8" spans="1:28" x14ac:dyDescent="0.2">
      <c r="A8" s="257"/>
      <c r="B8" s="2" t="s">
        <v>70</v>
      </c>
      <c r="C8" s="7">
        <v>8037060592</v>
      </c>
      <c r="D8" s="8" t="s">
        <v>63</v>
      </c>
      <c r="E8" s="9" t="s">
        <v>2</v>
      </c>
      <c r="F8" s="15">
        <f>ROUNDDOWN(SUM('WK1:WK5'!B7)/MAX(1,INDEX(FREQUENCY('WK1:WK5'!B7,0),2)),0)</f>
        <v>82</v>
      </c>
      <c r="G8" s="15">
        <f>ROUNDDOWN(SUM('WK1:WK5'!C7)/MAX(1,INDEX(FREQUENCY('WK1:WK5'!C7,0),2)),0)</f>
        <v>105</v>
      </c>
      <c r="H8" s="15">
        <f>ROUNDDOWN(SUM('WK1:WK5'!D7)/MAX(1,INDEX(FREQUENCY('WK1:WK5'!D7,0),2)),0)</f>
        <v>81</v>
      </c>
      <c r="I8" s="16">
        <f>SUM(F8:H8)</f>
        <v>268</v>
      </c>
      <c r="J8" s="17">
        <f>SUM('WK1:WK5'!O7)</f>
        <v>9</v>
      </c>
      <c r="K8" s="46">
        <f>IF(AND((SUM([1]Summary!J8,J8)&gt;0),[1]Summary!I8&gt;0),(I8-(([1]Summary!I8-[1]Summary!J8)-(L8*([1]Summary!I8-[1]Summary!J8))))/(IF(SUM([1]Summary!J8,J8)&gt;0,[1]Summary!J8+J8,0)),0%)</f>
        <v>0.36</v>
      </c>
      <c r="L8" s="46">
        <f>IF(([1]Summary!I8)&gt;0,(([1]Summary!I8-[1]Summary!J8)-(I8-J8))/(([1]Summary!I8-[1]Summary!J8)),100%)</f>
        <v>-0.35602094240837695</v>
      </c>
      <c r="M8" s="46">
        <f>IF(I8=0,0%,IF((I8-[2]Sheet1!$G4+([2]Sheet1!$J4/12*1))=0, 0%,(I8-[2]Sheet1!$G4+([2]Sheet1!$J4/12*1))/([2]Sheet1!$G4+([2]Sheet1!$J4/12*1))))</f>
        <v>2.3037228160707704E-2</v>
      </c>
      <c r="N8" s="18">
        <f>SUM('WK1:WK5'!M7)</f>
        <v>266420</v>
      </c>
      <c r="O8" s="10">
        <f>(SUM('WK1:WK5'!M7)/MAX(1,INDEX(FREQUENCY('WK1:WK5'!M7,0),2)))/IF(F8+G8&gt;0,F8+G8,"1")</f>
        <v>356.1764705882353</v>
      </c>
      <c r="P8" s="46">
        <f>SUM(IF(SUM('WK1:WK5'!J7)&gt;0,SUM('WK1:WK5'!T7)/((SUM('WK1:WK5'!J7)+SUM('WK1:WK5'!K7)+SUM('WK1:WK5'!P7))*0.3),0%),IF(SUM('WK1:WK5'!J7)&gt;0,SUM('WK1:WK5'!U7)/((SUM('WK1:WK5'!J7)+SUM('WK1:WK5'!K7)+SUM('WK1:WK5'!P7))*0.1),0%),IF(SUM('WK1:WK5'!J7)&gt;0,SUM('WK1:WK5'!V7)/((SUM('WK1:WK5'!J7)+SUM('WK1:WK5'!K7)+SUM('WK1:WK5'!P7))*0.3),0%))</f>
        <v>0</v>
      </c>
      <c r="Q8" s="79">
        <f>SUM('WK1:WK5'!Z7)/MAX(1,INDEX(FREQUENCY('WK1:WK5'!Z7,0),2))</f>
        <v>0</v>
      </c>
      <c r="R8" s="78">
        <f>IF(I8&gt;0,SUM('WK1:WK5'!AE7)/MAX(1,INDEX(FREQUENCY('WK1:WK5'!AE7,0),2))/I8,0)</f>
        <v>0</v>
      </c>
      <c r="S8" s="110">
        <f>RANK($J8,(J_Love,J_Maranatha,J_Goodnews,J_Heritage,J_Oyigbo,J_Revival))</f>
        <v>5</v>
      </c>
      <c r="T8" s="110">
        <f>RANK($K8,(K_Love,K_Maranatha,K_Goodnews,K_Heritage,K_Oyigbo,K_Revival))</f>
        <v>9</v>
      </c>
      <c r="U8" s="110">
        <f>RANK($L8,(L_Love,L_Maranatha,L_Goodnews,L_Heritage,L_Oyigbo,L_Revival),1)</f>
        <v>5</v>
      </c>
      <c r="V8" s="110">
        <f>RANK($M8,(M_Love,M_Maranatha,M_Goodnews,M_Heritage,M_Oyigbo,M_Revival))</f>
        <v>9</v>
      </c>
      <c r="W8" s="110">
        <f>RANK($O8,(O_Love,O_Maranatha,O_Goodnews,O_Heritage,O_Oyigbo,O_Revival))</f>
        <v>13</v>
      </c>
      <c r="X8" s="110">
        <f>RANK($P8,(P_Love,P_Maranatha,P_Goodnews,P_Heritage,P_Oyigbo,P_Revival))</f>
        <v>1</v>
      </c>
      <c r="Y8" s="110">
        <f>RANK($Q8,(Q_Love,Q_Maranatha,Q_Goodnews,Q_Heritage,Q_Oyigbo,Q_Revival))</f>
        <v>1</v>
      </c>
      <c r="Z8" s="110">
        <f>RANK($R8,(R_Love,R_Maranatha,R_Goodnews,R_Heritage,R_Oyigbo,R_Revival))</f>
        <v>1</v>
      </c>
      <c r="AA8" s="111">
        <f t="shared" si="0"/>
        <v>44</v>
      </c>
      <c r="AB8" s="112">
        <f>RANK(AA8,(AD_Love,AD_Maranatha,AD_Goodnews,AD_Heritage,AD_Oyigbo,AD_Revival),1)</f>
        <v>1</v>
      </c>
    </row>
    <row r="9" spans="1:28" x14ac:dyDescent="0.2">
      <c r="A9" s="257"/>
      <c r="B9" s="2" t="s">
        <v>73</v>
      </c>
      <c r="C9" s="7">
        <v>8033381017</v>
      </c>
      <c r="D9" s="8" t="s">
        <v>47</v>
      </c>
      <c r="E9" s="9" t="s">
        <v>5</v>
      </c>
      <c r="F9" s="15">
        <f>ROUNDDOWN(SUM('WK1:WK5'!B8)/MAX(1,INDEX(FREQUENCY('WK1:WK5'!B8,0),2)),0)</f>
        <v>3</v>
      </c>
      <c r="G9" s="15">
        <f>ROUNDDOWN(SUM('WK1:WK5'!C8)/MAX(1,INDEX(FREQUENCY('WK1:WK5'!C8,0),2)),0)</f>
        <v>7</v>
      </c>
      <c r="H9" s="15">
        <f>ROUNDDOWN(SUM('WK1:WK5'!D8)/MAX(1,INDEX(FREQUENCY('WK1:WK5'!D8,0),2)),0)</f>
        <v>1</v>
      </c>
      <c r="I9" s="16">
        <f>SUM(F9:H9)</f>
        <v>11</v>
      </c>
      <c r="J9" s="17">
        <f>SUM('WK1:WK5'!O8)</f>
        <v>0</v>
      </c>
      <c r="K9" s="46">
        <f>IF(AND((SUM([1]Summary!J9,J9)&gt;0),[1]Summary!I9&gt;0),(I9-(([1]Summary!I9-[1]Summary!J9)-(L9*([1]Summary!I9-[1]Summary!J9))))/(IF(SUM([1]Summary!J9,J9)&gt;0,[1]Summary!J9+J9,0)),0%)</f>
        <v>0</v>
      </c>
      <c r="L9" s="46">
        <f>IF(([1]Summary!I9)&gt;0,(([1]Summary!I9-[1]Summary!J9)-(I9-J9))/(([1]Summary!I9-[1]Summary!J9)),100%)</f>
        <v>0.15384615384615385</v>
      </c>
      <c r="M9" s="46">
        <f>IF(I9=0,0%,IF((I9-[2]Sheet1!$G5+([2]Sheet1!$J5/12*1))=0, 0%,(I9-[2]Sheet1!$G5+([2]Sheet1!$J5/12*1))/([2]Sheet1!$G5+([2]Sheet1!$J5/12*1))))</f>
        <v>-0.12111617722983521</v>
      </c>
      <c r="N9" s="18">
        <f>SUM('WK1:WK5'!M8)</f>
        <v>13400</v>
      </c>
      <c r="O9" s="10">
        <f>(SUM('WK1:WK5'!M8)/MAX(1,INDEX(FREQUENCY('WK1:WK5'!M8,0),2)))/IF(F9+G9&gt;0,F9+G9,"1")</f>
        <v>335</v>
      </c>
      <c r="P9" s="46">
        <f>SUM(IF(SUM('WK1:WK5'!J8)&gt;0,SUM('WK1:WK5'!T8)/((SUM('WK1:WK5'!J8)+SUM('WK1:WK5'!K8)+SUM('WK1:WK5'!P8))*0.3),0%),IF(SUM('WK1:WK5'!J8)&gt;0,SUM('WK1:WK5'!U8)/((SUM('WK1:WK5'!J8)+SUM('WK1:WK5'!K8)+SUM('WK1:WK5'!P8))*0.1),0%),IF(SUM('WK1:WK5'!J8)&gt;0,SUM('WK1:WK5'!V8)/((SUM('WK1:WK5'!J8)+SUM('WK1:WK5'!K8)+SUM('WK1:WK5'!P8))*0.3),0%))</f>
        <v>0</v>
      </c>
      <c r="Q9" s="79">
        <f>SUM('WK1:WK5'!Z8)/MAX(1,INDEX(FREQUENCY('WK1:WK5'!Z8,0),2))</f>
        <v>0</v>
      </c>
      <c r="R9" s="78">
        <f>IF(I9&gt;0,SUM('WK1:WK5'!AE8)/MAX(1,INDEX(FREQUENCY('WK1:WK5'!AE8,0),2))/I9,0)</f>
        <v>0</v>
      </c>
      <c r="S9" s="110">
        <f>RANK($J9,(J_Love,J_Maranatha,J_Goodnews,J_Heritage,J_Oyigbo,J_Revival))</f>
        <v>17</v>
      </c>
      <c r="T9" s="110">
        <f>RANK($K9,(K_Love,K_Maranatha,K_Goodnews,K_Heritage,K_Oyigbo,K_Revival))</f>
        <v>17</v>
      </c>
      <c r="U9" s="110">
        <f>RANK($L9,(L_Love,L_Maranatha,L_Goodnews,L_Heritage,L_Oyigbo,L_Revival),1)</f>
        <v>26</v>
      </c>
      <c r="V9" s="110">
        <f>RANK($M9,(M_Love,M_Maranatha,M_Goodnews,M_Heritage,M_Oyigbo,M_Revival))</f>
        <v>27</v>
      </c>
      <c r="W9" s="110">
        <f>RANK($O9,(O_Love,O_Maranatha,O_Goodnews,O_Heritage,O_Oyigbo,O_Revival))</f>
        <v>16</v>
      </c>
      <c r="X9" s="110">
        <f>RANK($P9,(P_Love,P_Maranatha,P_Goodnews,P_Heritage,P_Oyigbo,P_Revival))</f>
        <v>1</v>
      </c>
      <c r="Y9" s="110">
        <f>RANK($Q9,(Q_Love,Q_Maranatha,Q_Goodnews,Q_Heritage,Q_Oyigbo,Q_Revival))</f>
        <v>1</v>
      </c>
      <c r="Z9" s="110">
        <f>RANK($R9,(R_Love,R_Maranatha,R_Goodnews,R_Heritage,R_Oyigbo,R_Revival))</f>
        <v>1</v>
      </c>
      <c r="AA9" s="111">
        <f t="shared" si="0"/>
        <v>106</v>
      </c>
      <c r="AB9" s="112">
        <f>RANK(AA9,(AD_Love,AD_Maranatha,AD_Goodnews,AD_Heritage,AD_Oyigbo,AD_Revival),1)</f>
        <v>25</v>
      </c>
    </row>
    <row r="10" spans="1:28" x14ac:dyDescent="0.2">
      <c r="A10" s="257"/>
      <c r="B10" s="2" t="s">
        <v>83</v>
      </c>
      <c r="C10" s="7">
        <v>8064733165</v>
      </c>
      <c r="D10" s="8" t="s">
        <v>133</v>
      </c>
      <c r="E10" s="9" t="s">
        <v>6</v>
      </c>
      <c r="F10" s="15">
        <f>ROUNDDOWN(SUM('WK1:WK5'!B9)/MAX(1,INDEX(FREQUENCY('WK1:WK5'!B9,0),2)),0)</f>
        <v>11</v>
      </c>
      <c r="G10" s="15">
        <f>ROUNDDOWN(SUM('WK1:WK5'!C9)/MAX(1,INDEX(FREQUENCY('WK1:WK5'!C9,0),2)),0)</f>
        <v>10</v>
      </c>
      <c r="H10" s="15">
        <f>ROUNDDOWN(SUM('WK1:WK5'!D9)/MAX(1,INDEX(FREQUENCY('WK1:WK5'!D9,0),2)),0)</f>
        <v>6</v>
      </c>
      <c r="I10" s="16">
        <f>SUM(F10:H10)</f>
        <v>27</v>
      </c>
      <c r="J10" s="17">
        <f>SUM('WK1:WK5'!O9)</f>
        <v>0</v>
      </c>
      <c r="K10" s="46">
        <f>IF(AND((SUM([1]Summary!J10,J10)&gt;0),[1]Summary!I10&gt;0),(I10-(([1]Summary!I10-[1]Summary!J10)-(L10*([1]Summary!I10-[1]Summary!J10))))/(IF(SUM([1]Summary!J10,J10)&gt;0,[1]Summary!J10+J10,0)),0%)</f>
        <v>0</v>
      </c>
      <c r="L10" s="46">
        <f>IF(([1]Summary!I10)&gt;0,(([1]Summary!I10-[1]Summary!J10)-(I10-J10))/(([1]Summary!I10-[1]Summary!J10)),100%)</f>
        <v>-1.0769230769230769</v>
      </c>
      <c r="M10" s="46">
        <f>IF(I10=0,0%,IF((I10-[2]Sheet1!$G6+([2]Sheet1!$J6/12*1))=0, 0%,(I10-[2]Sheet1!$G6+([2]Sheet1!$J6/12*1))/([2]Sheet1!$G6+([2]Sheet1!$J6/12*1))))</f>
        <v>8.9134566149003225E-2</v>
      </c>
      <c r="N10" s="18">
        <f>SUM('WK1:WK5'!M9)</f>
        <v>25400</v>
      </c>
      <c r="O10" s="10">
        <f>(SUM('WK1:WK5'!M9)/MAX(1,INDEX(FREQUENCY('WK1:WK5'!M9,0),2)))/IF(F10+G10&gt;0,F10+G10,"1")</f>
        <v>302.38095238095241</v>
      </c>
      <c r="P10" s="46">
        <f>SUM(IF(SUM('WK1:WK5'!J9)&gt;0,SUM('WK1:WK5'!T9)/((SUM('WK1:WK5'!J9)+SUM('WK1:WK5'!K9)+SUM('WK1:WK5'!P9))*0.3),0%),IF(SUM('WK1:WK5'!J9)&gt;0,SUM('WK1:WK5'!U9)/((SUM('WK1:WK5'!J9)+SUM('WK1:WK5'!K9)+SUM('WK1:WK5'!P9))*0.1),0%),IF(SUM('WK1:WK5'!J9)&gt;0,SUM('WK1:WK5'!V9)/((SUM('WK1:WK5'!J9)+SUM('WK1:WK5'!K9)+SUM('WK1:WK5'!P9))*0.3),0%))</f>
        <v>0</v>
      </c>
      <c r="Q10" s="79">
        <f>SUM('WK1:WK5'!Z9)/MAX(1,INDEX(FREQUENCY('WK1:WK5'!Z9,0),2))</f>
        <v>0</v>
      </c>
      <c r="R10" s="78">
        <f>IF(I10&gt;0,SUM('WK1:WK5'!AE9)/MAX(1,INDEX(FREQUENCY('WK1:WK5'!AE9,0),2))/I10,0)</f>
        <v>0</v>
      </c>
      <c r="S10" s="110">
        <f>RANK($J10,(J_Love,J_Maranatha,J_Goodnews,J_Heritage,J_Oyigbo,J_Revival))</f>
        <v>17</v>
      </c>
      <c r="T10" s="110">
        <f>RANK($K10,(K_Love,K_Maranatha,K_Goodnews,K_Heritage,K_Oyigbo,K_Revival))</f>
        <v>17</v>
      </c>
      <c r="U10" s="110">
        <f>RANK($L10,(L_Love,L_Maranatha,L_Goodnews,L_Heritage,L_Oyigbo,L_Revival),1)</f>
        <v>1</v>
      </c>
      <c r="V10" s="110">
        <f>RANK($M10,(M_Love,M_Maranatha,M_Goodnews,M_Heritage,M_Oyigbo,M_Revival))</f>
        <v>6</v>
      </c>
      <c r="W10" s="110">
        <f>RANK($O10,(O_Love,O_Maranatha,O_Goodnews,O_Heritage,O_Oyigbo,O_Revival))</f>
        <v>18</v>
      </c>
      <c r="X10" s="110">
        <f>RANK($P10,(P_Love,P_Maranatha,P_Goodnews,P_Heritage,P_Oyigbo,P_Revival))</f>
        <v>1</v>
      </c>
      <c r="Y10" s="110">
        <f>RANK($Q10,(Q_Love,Q_Maranatha,Q_Goodnews,Q_Heritage,Q_Oyigbo,Q_Revival))</f>
        <v>1</v>
      </c>
      <c r="Z10" s="110">
        <f>RANK($R10,(R_Love,R_Maranatha,R_Goodnews,R_Heritage,R_Oyigbo,R_Revival))</f>
        <v>1</v>
      </c>
      <c r="AA10" s="111">
        <f t="shared" si="0"/>
        <v>62</v>
      </c>
      <c r="AB10" s="112">
        <f>RANK(AA10,(AD_Love,AD_Maranatha,AD_Goodnews,AD_Heritage,AD_Oyigbo,AD_Revival),1)</f>
        <v>8</v>
      </c>
    </row>
    <row r="11" spans="1:28" x14ac:dyDescent="0.2">
      <c r="A11" s="258"/>
      <c r="B11" s="254" t="s">
        <v>110</v>
      </c>
      <c r="C11" s="255"/>
      <c r="D11" s="255"/>
      <c r="E11" s="256"/>
      <c r="F11" s="56">
        <f>SUM(F7:F10)</f>
        <v>182</v>
      </c>
      <c r="G11" s="56">
        <f>SUM(G7:G10)</f>
        <v>211</v>
      </c>
      <c r="H11" s="56">
        <f>SUM(H7:H10)</f>
        <v>164</v>
      </c>
      <c r="I11" s="56">
        <f>SUM(I7:I10)</f>
        <v>557</v>
      </c>
      <c r="J11" s="56">
        <f>SUM(J7:J10)</f>
        <v>15</v>
      </c>
      <c r="K11" s="23">
        <f>IF(SUM(K7:K10)&gt;0,AVERAGEIF(K7:K10,"&lt;&gt;0"),0)</f>
        <v>0.55499999999999994</v>
      </c>
      <c r="L11" s="105">
        <f>IF(SUM(L7:L10)=0,100%,AVERAGEIF(L7:L10,"&lt;&gt;0"))</f>
        <v>-0.36144113303799164</v>
      </c>
      <c r="M11" s="105">
        <f>IF(SUM(M7:M10)=0,0%,AVERAGEIF(M7:M10,"&lt;&gt;0"))</f>
        <v>-4.9737998992619298E-2</v>
      </c>
      <c r="N11" s="21">
        <f>SUM(N7:N10)</f>
        <v>629560</v>
      </c>
      <c r="O11" s="122">
        <f>IF(SUM(O7:O10)&gt;0,AVERAGEIF(O7:O10,"&lt;&gt;0"),0)</f>
        <v>364.22507002801126</v>
      </c>
      <c r="P11" s="107">
        <f>IF(SUM(P7:P10)&gt;0,AVERAGEIF(P7:P10,"&lt;&gt;0"),0%)</f>
        <v>0</v>
      </c>
      <c r="Q11" s="106">
        <f>IF(SUM(Q7:Q10)&gt;0,AVERAGEIF(Q7:Q10,"&lt;&gt;0"),0)</f>
        <v>0</v>
      </c>
      <c r="R11" s="108">
        <f>IF(SUM(R7:R10)&gt;0,AVERAGEIF(R7:R10,"&lt;&gt;0"),0)</f>
        <v>0</v>
      </c>
      <c r="S11" s="113">
        <f>RANK($J11,J_Zone)</f>
        <v>3</v>
      </c>
      <c r="T11" s="113">
        <f>RANK($K11,K_Zone)</f>
        <v>3</v>
      </c>
      <c r="U11" s="113">
        <f>RANK($L11,L_Zone)</f>
        <v>6</v>
      </c>
      <c r="V11" s="113">
        <f>RANK($M11,M_Zone)</f>
        <v>3</v>
      </c>
      <c r="W11" s="113">
        <f>RANK($O11,O_Zone)</f>
        <v>4</v>
      </c>
      <c r="X11" s="113">
        <f>RANK($P11,P_Zone)</f>
        <v>1</v>
      </c>
      <c r="Y11" s="113">
        <f>RANK($Q11,Q_Zone)</f>
        <v>1</v>
      </c>
      <c r="Z11" s="113">
        <f>RANK($R11,R_Zone)</f>
        <v>1</v>
      </c>
      <c r="AA11" s="114">
        <f t="shared" si="0"/>
        <v>22</v>
      </c>
      <c r="AB11" s="115">
        <f>RANK(AA11,AD_Zone,1)</f>
        <v>5</v>
      </c>
    </row>
    <row r="12" spans="1:28" x14ac:dyDescent="0.2">
      <c r="A12" s="257" t="s">
        <v>149</v>
      </c>
      <c r="B12" s="2" t="s">
        <v>69</v>
      </c>
      <c r="C12" s="7">
        <v>7031215541</v>
      </c>
      <c r="D12" s="8" t="s">
        <v>46</v>
      </c>
      <c r="E12" s="9" t="s">
        <v>65</v>
      </c>
      <c r="F12" s="15">
        <f>ROUNDDOWN(SUM('WK1:WK5'!B11)/MAX(1,INDEX(FREQUENCY('WK1:WK5'!B11,0),2)),0)</f>
        <v>79</v>
      </c>
      <c r="G12" s="15">
        <f>ROUNDDOWN(SUM('WK1:WK5'!C11)/MAX(1,INDEX(FREQUENCY('WK1:WK5'!C11,0),2)),0)</f>
        <v>81</v>
      </c>
      <c r="H12" s="15">
        <f>ROUNDDOWN(SUM('WK1:WK5'!D11)/MAX(1,INDEX(FREQUENCY('WK1:WK5'!D11,0),2)),0)</f>
        <v>72</v>
      </c>
      <c r="I12" s="16">
        <f>SUM(F12:H12)</f>
        <v>232</v>
      </c>
      <c r="J12" s="17">
        <f>SUM('WK1:WK5'!O11)</f>
        <v>1</v>
      </c>
      <c r="K12" s="46">
        <f>IF(AND((SUM([1]Summary!J12,J12)&gt;0),[1]Summary!I12&gt;0),(I12-(([1]Summary!I12-[1]Summary!J12)-(L12*([1]Summary!I12-[1]Summary!J12))))/(IF(SUM([1]Summary!J12,J12)&gt;0,[1]Summary!J12+J12,0)),0%)</f>
        <v>0.33333333333333331</v>
      </c>
      <c r="L12" s="46">
        <f>IF(([1]Summary!I12)&gt;0,(([1]Summary!I12-[1]Summary!J12)-(I12-J12))/(([1]Summary!I12-[1]Summary!J12)),100%)</f>
        <v>-0.13793103448275862</v>
      </c>
      <c r="M12" s="46">
        <f>IF(I12=0,0%,IF((I12-[2]Sheet1!$G8+([2]Sheet1!$J8/12*1))=0, 0%,(I12-[2]Sheet1!$G8+([2]Sheet1!$J8/12*1))/([2]Sheet1!$G8+([2]Sheet1!$J8/12*1))))</f>
        <v>-0.23438470854615345</v>
      </c>
      <c r="N12" s="18">
        <f>SUM('WK1:WK5'!M11)</f>
        <v>176610</v>
      </c>
      <c r="O12" s="10">
        <f>(SUM('WK1:WK5'!M11)/MAX(1,INDEX(FREQUENCY('WK1:WK5'!M11,0),2)))/IF(F12+G12&gt;0,F12+G12,"1")</f>
        <v>275.953125</v>
      </c>
      <c r="P12" s="46">
        <f>SUM(IF(SUM('WK1:WK5'!J11)&gt;0,SUM('WK1:WK5'!T11)/((SUM('WK1:WK5'!J11)+SUM('WK1:WK5'!K11)+SUM('WK1:WK5'!P11))*0.3),0%),IF(SUM('WK1:WK5'!J11)&gt;0,SUM('WK1:WK5'!U11)/((SUM('WK1:WK5'!J11)+SUM('WK1:WK5'!K11)+SUM('WK1:WK5'!P11))*0.1),0%),IF(SUM('WK1:WK5'!J11)&gt;0,SUM('WK1:WK5'!V11)/((SUM('WK1:WK5'!J11)+SUM('WK1:WK5'!K11)+SUM('WK1:WK5'!P11))*0.3),0%))</f>
        <v>0</v>
      </c>
      <c r="Q12" s="79">
        <f>SUM('WK1:WK5'!Z11)/MAX(1,INDEX(FREQUENCY('WK1:WK5'!Z11,0),2))</f>
        <v>0</v>
      </c>
      <c r="R12" s="78">
        <f>IF(I12&gt;0,SUM('WK1:WK5'!AE11)/MAX(1,INDEX(FREQUENCY('WK1:WK5'!AE11,0),2))/I12,0)</f>
        <v>0</v>
      </c>
      <c r="S12" s="110">
        <f>RANK($J12,(J_Love,J_Maranatha,J_Goodnews,J_Heritage,J_Oyigbo,J_Revival))</f>
        <v>13</v>
      </c>
      <c r="T12" s="110">
        <f>RANK($K12,(K_Love,K_Maranatha,K_Goodnews,K_Heritage,K_Oyigbo,K_Revival))</f>
        <v>10</v>
      </c>
      <c r="U12" s="110">
        <f>RANK($L12,(L_Love,L_Maranatha,L_Goodnews,L_Heritage,L_Oyigbo,L_Revival),1)</f>
        <v>15</v>
      </c>
      <c r="V12" s="110">
        <f>RANK($M12,(M_Love,M_Maranatha,M_Goodnews,M_Heritage,M_Oyigbo,M_Revival))</f>
        <v>35</v>
      </c>
      <c r="W12" s="110">
        <f>RANK($O12,(O_Love,O_Maranatha,O_Goodnews,O_Heritage,O_Oyigbo,O_Revival))</f>
        <v>22</v>
      </c>
      <c r="X12" s="110">
        <f>RANK($P12,(P_Love,P_Maranatha,P_Goodnews,P_Heritage,P_Oyigbo,P_Revival))</f>
        <v>1</v>
      </c>
      <c r="Y12" s="110">
        <f>RANK($Q12,(Q_Love,Q_Maranatha,Q_Goodnews,Q_Heritage,Q_Oyigbo,Q_Revival))</f>
        <v>1</v>
      </c>
      <c r="Z12" s="110">
        <f>RANK($R12,(R_Love,R_Maranatha,R_Goodnews,R_Heritage,R_Oyigbo,R_Revival))</f>
        <v>1</v>
      </c>
      <c r="AA12" s="111">
        <f t="shared" si="0"/>
        <v>98</v>
      </c>
      <c r="AB12" s="112">
        <f>RANK(AA12,(AD_Love,AD_Maranatha,AD_Goodnews,AD_Heritage,AD_Oyigbo,AD_Revival),1)</f>
        <v>23</v>
      </c>
    </row>
    <row r="13" spans="1:28" x14ac:dyDescent="0.2">
      <c r="A13" s="257"/>
      <c r="B13" s="2" t="s">
        <v>71</v>
      </c>
      <c r="C13" s="7">
        <v>8033381856</v>
      </c>
      <c r="D13" s="8" t="s">
        <v>128</v>
      </c>
      <c r="E13" s="9" t="s">
        <v>4</v>
      </c>
      <c r="F13" s="15">
        <f>ROUNDDOWN(SUM('WK1:WK5'!B12)/MAX(1,INDEX(FREQUENCY('WK1:WK5'!B12,0),2)),0)</f>
        <v>24</v>
      </c>
      <c r="G13" s="15">
        <f>ROUNDDOWN(SUM('WK1:WK5'!C12)/MAX(1,INDEX(FREQUENCY('WK1:WK5'!C12,0),2)),0)</f>
        <v>42</v>
      </c>
      <c r="H13" s="15">
        <f>ROUNDDOWN(SUM('WK1:WK5'!D12)/MAX(1,INDEX(FREQUENCY('WK1:WK5'!D12,0),2)),0)</f>
        <v>45</v>
      </c>
      <c r="I13" s="16">
        <f>SUM(F13:H13)</f>
        <v>111</v>
      </c>
      <c r="J13" s="17">
        <f>SUM('WK1:WK5'!O12)</f>
        <v>1</v>
      </c>
      <c r="K13" s="46">
        <f>IF(AND((SUM([1]Summary!J13,J13)&gt;0),[1]Summary!I13&gt;0),(I13-(([1]Summary!I13-[1]Summary!J13)-(L13*([1]Summary!I13-[1]Summary!J13))))/(IF(SUM([1]Summary!J13,J13)&gt;0,[1]Summary!J13+J13,0)),0%)</f>
        <v>7.1428571428571425E-2</v>
      </c>
      <c r="L13" s="46">
        <f>IF(([1]Summary!I13)&gt;0,(([1]Summary!I13-[1]Summary!J13)-(I13-J13))/(([1]Summary!I13-[1]Summary!J13)),100%)</f>
        <v>-0.27906976744186046</v>
      </c>
      <c r="M13" s="46">
        <f>IF(I13=0,0%,IF((I13-[2]Sheet1!$G9+([2]Sheet1!$J9/12*1))=0, 0%,(I13-[2]Sheet1!$G9+([2]Sheet1!$J9/12*1))/([2]Sheet1!$G9+([2]Sheet1!$J9/12*1))))</f>
        <v>0.30703803392794382</v>
      </c>
      <c r="N13" s="18">
        <f>SUM('WK1:WK5'!M12)</f>
        <v>86340</v>
      </c>
      <c r="O13" s="10">
        <f>(SUM('WK1:WK5'!M12)/MAX(1,INDEX(FREQUENCY('WK1:WK5'!M12,0),2)))/IF(F13+G13&gt;0,F13+G13,"1")</f>
        <v>327.04545454545456</v>
      </c>
      <c r="P13" s="46">
        <f>SUM(IF(SUM('WK1:WK5'!J12)&gt;0,SUM('WK1:WK5'!T12)/((SUM('WK1:WK5'!J12)+SUM('WK1:WK5'!K12)+SUM('WK1:WK5'!P12))*0.3),0%),IF(SUM('WK1:WK5'!J12)&gt;0,SUM('WK1:WK5'!U12)/((SUM('WK1:WK5'!J12)+SUM('WK1:WK5'!K12)+SUM('WK1:WK5'!P12))*0.1),0%),IF(SUM('WK1:WK5'!J12)&gt;0,SUM('WK1:WK5'!V12)/((SUM('WK1:WK5'!J12)+SUM('WK1:WK5'!K12)+SUM('WK1:WK5'!P12))*0.3),0%))</f>
        <v>0</v>
      </c>
      <c r="Q13" s="79">
        <f>SUM('WK1:WK5'!Z12)/MAX(1,INDEX(FREQUENCY('WK1:WK5'!Z12,0),2))</f>
        <v>0</v>
      </c>
      <c r="R13" s="78">
        <f>IF(I13&gt;0,SUM('WK1:WK5'!AE12)/MAX(1,INDEX(FREQUENCY('WK1:WK5'!AE12,0),2))/I13,0)</f>
        <v>0</v>
      </c>
      <c r="S13" s="110">
        <f>RANK($J13,(J_Love,J_Maranatha,J_Goodnews,J_Heritage,J_Oyigbo,J_Revival))</f>
        <v>13</v>
      </c>
      <c r="T13" s="110">
        <f>RANK($K13,(K_Love,K_Maranatha,K_Goodnews,K_Heritage,K_Oyigbo,K_Revival))</f>
        <v>15</v>
      </c>
      <c r="U13" s="110">
        <f>RANK($L13,(L_Love,L_Maranatha,L_Goodnews,L_Heritage,L_Oyigbo,L_Revival),1)</f>
        <v>6</v>
      </c>
      <c r="V13" s="110">
        <f>RANK($M13,(M_Love,M_Maranatha,M_Goodnews,M_Heritage,M_Oyigbo,M_Revival))</f>
        <v>3</v>
      </c>
      <c r="W13" s="110">
        <f>RANK($O13,(O_Love,O_Maranatha,O_Goodnews,O_Heritage,O_Oyigbo,O_Revival))</f>
        <v>17</v>
      </c>
      <c r="X13" s="110">
        <f>RANK($P13,(P_Love,P_Maranatha,P_Goodnews,P_Heritage,P_Oyigbo,P_Revival))</f>
        <v>1</v>
      </c>
      <c r="Y13" s="110">
        <f>RANK($Q13,(Q_Love,Q_Maranatha,Q_Goodnews,Q_Heritage,Q_Oyigbo,Q_Revival))</f>
        <v>1</v>
      </c>
      <c r="Z13" s="110">
        <f>RANK($R13,(R_Love,R_Maranatha,R_Goodnews,R_Heritage,R_Oyigbo,R_Revival))</f>
        <v>1</v>
      </c>
      <c r="AA13" s="111">
        <f t="shared" si="0"/>
        <v>57</v>
      </c>
      <c r="AB13" s="112">
        <f>RANK(AA13,(AD_Love,AD_Maranatha,AD_Goodnews,AD_Heritage,AD_Oyigbo,AD_Revival),1)</f>
        <v>6</v>
      </c>
    </row>
    <row r="14" spans="1:28" x14ac:dyDescent="0.2">
      <c r="A14" s="257"/>
      <c r="B14" s="2" t="s">
        <v>72</v>
      </c>
      <c r="C14" s="7">
        <v>8033134839</v>
      </c>
      <c r="D14" s="8" t="s">
        <v>134</v>
      </c>
      <c r="E14" s="9" t="s">
        <v>3</v>
      </c>
      <c r="F14" s="15">
        <f>ROUNDDOWN(SUM('WK1:WK5'!B13)/MAX(1,INDEX(FREQUENCY('WK1:WK5'!B13,0),2)),0)</f>
        <v>21</v>
      </c>
      <c r="G14" s="15">
        <f>ROUNDDOWN(SUM('WK1:WK5'!C13)/MAX(1,INDEX(FREQUENCY('WK1:WK5'!C13,0),2)),0)</f>
        <v>24</v>
      </c>
      <c r="H14" s="15">
        <f>ROUNDDOWN(SUM('WK1:WK5'!D13)/MAX(1,INDEX(FREQUENCY('WK1:WK5'!D13,0),2)),0)</f>
        <v>30</v>
      </c>
      <c r="I14" s="16">
        <f>SUM(F14:H14)</f>
        <v>75</v>
      </c>
      <c r="J14" s="17">
        <f>SUM('WK1:WK5'!O13)</f>
        <v>0</v>
      </c>
      <c r="K14" s="46">
        <f>IF(AND((SUM([1]Summary!J14,J14)&gt;0),[1]Summary!I14&gt;0),(I14-(([1]Summary!I14-[1]Summary!J14)-(L14*([1]Summary!I14-[1]Summary!J14))))/(IF(SUM([1]Summary!J14,J14)&gt;0,[1]Summary!J14+J14,0)),0%)</f>
        <v>0</v>
      </c>
      <c r="L14" s="46">
        <f>IF(([1]Summary!I14)&gt;0,(([1]Summary!I14-[1]Summary!J14)-(I14-J14))/(([1]Summary!I14-[1]Summary!J14)),100%)</f>
        <v>7.407407407407407E-2</v>
      </c>
      <c r="M14" s="46">
        <f>IF(I14=0,0%,IF((I14-[2]Sheet1!$G10+([2]Sheet1!$J10/12*1))=0, 0%,(I14-[2]Sheet1!$G10+([2]Sheet1!$J10/12*1))/([2]Sheet1!$G10+([2]Sheet1!$J10/12*1))))</f>
        <v>0.30938838542394859</v>
      </c>
      <c r="N14" s="18">
        <f>SUM('WK1:WK5'!M13)</f>
        <v>131930</v>
      </c>
      <c r="O14" s="10">
        <f>(SUM('WK1:WK5'!M13)/MAX(1,INDEX(FREQUENCY('WK1:WK5'!M13,0),2)))/IF(F14+G14&gt;0,F14+G14,"1")</f>
        <v>732.94444444444446</v>
      </c>
      <c r="P14" s="46">
        <f>SUM(IF(SUM('WK1:WK5'!J13)&gt;0,SUM('WK1:WK5'!T13)/((SUM('WK1:WK5'!J13)+SUM('WK1:WK5'!K13)+SUM('WK1:WK5'!P13))*0.3),0%),IF(SUM('WK1:WK5'!J13)&gt;0,SUM('WK1:WK5'!U13)/((SUM('WK1:WK5'!J13)+SUM('WK1:WK5'!K13)+SUM('WK1:WK5'!P13))*0.1),0%),IF(SUM('WK1:WK5'!J13)&gt;0,SUM('WK1:WK5'!V13)/((SUM('WK1:WK5'!J13)+SUM('WK1:WK5'!K13)+SUM('WK1:WK5'!P13))*0.3),0%))</f>
        <v>0</v>
      </c>
      <c r="Q14" s="79">
        <f>SUM('WK1:WK5'!Z13)/MAX(1,INDEX(FREQUENCY('WK1:WK5'!Z13,0),2))</f>
        <v>0</v>
      </c>
      <c r="R14" s="78">
        <f>IF(I14&gt;0,SUM('WK1:WK5'!AE13)/MAX(1,INDEX(FREQUENCY('WK1:WK5'!AE13,0),2))/I14,0)</f>
        <v>0</v>
      </c>
      <c r="S14" s="110">
        <f>RANK($J14,(J_Love,J_Maranatha,J_Goodnews,J_Heritage,J_Oyigbo,J_Revival))</f>
        <v>17</v>
      </c>
      <c r="T14" s="110">
        <f>RANK($K14,(K_Love,K_Maranatha,K_Goodnews,K_Heritage,K_Oyigbo,K_Revival))</f>
        <v>17</v>
      </c>
      <c r="U14" s="110">
        <f>RANK($L14,(L_Love,L_Maranatha,L_Goodnews,L_Heritage,L_Oyigbo,L_Revival),1)</f>
        <v>22</v>
      </c>
      <c r="V14" s="110">
        <f>RANK($M14,(M_Love,M_Maranatha,M_Goodnews,M_Heritage,M_Oyigbo,M_Revival))</f>
        <v>2</v>
      </c>
      <c r="W14" s="110">
        <f>RANK($O14,(O_Love,O_Maranatha,O_Goodnews,O_Heritage,O_Oyigbo,O_Revival))</f>
        <v>2</v>
      </c>
      <c r="X14" s="110">
        <f>RANK($P14,(P_Love,P_Maranatha,P_Goodnews,P_Heritage,P_Oyigbo,P_Revival))</f>
        <v>1</v>
      </c>
      <c r="Y14" s="110">
        <f>RANK($Q14,(Q_Love,Q_Maranatha,Q_Goodnews,Q_Heritage,Q_Oyigbo,Q_Revival))</f>
        <v>1</v>
      </c>
      <c r="Z14" s="110">
        <f>RANK($R14,(R_Love,R_Maranatha,R_Goodnews,R_Heritage,R_Oyigbo,R_Revival))</f>
        <v>1</v>
      </c>
      <c r="AA14" s="111">
        <f t="shared" si="0"/>
        <v>63</v>
      </c>
      <c r="AB14" s="112">
        <f>RANK(AA14,(AD_Love,AD_Maranatha,AD_Goodnews,AD_Heritage,AD_Oyigbo,AD_Revival),1)</f>
        <v>9</v>
      </c>
    </row>
    <row r="15" spans="1:28" x14ac:dyDescent="0.2">
      <c r="A15" s="257"/>
      <c r="B15" s="2" t="s">
        <v>74</v>
      </c>
      <c r="C15" s="7">
        <v>8131632175</v>
      </c>
      <c r="D15" s="8" t="s">
        <v>151</v>
      </c>
      <c r="E15" s="9" t="s">
        <v>107</v>
      </c>
      <c r="F15" s="15">
        <f>ROUNDDOWN(SUM('WK1:WK5'!B14)/MAX(1,INDEX(FREQUENCY('WK1:WK5'!B14,0),2)),0)</f>
        <v>3</v>
      </c>
      <c r="G15" s="15">
        <f>ROUNDDOWN(SUM('WK1:WK5'!C14)/MAX(1,INDEX(FREQUENCY('WK1:WK5'!C14,0),2)),0)</f>
        <v>3</v>
      </c>
      <c r="H15" s="15">
        <f>ROUNDDOWN(SUM('WK1:WK5'!D14)/MAX(1,INDEX(FREQUENCY('WK1:WK5'!D14,0),2)),0)</f>
        <v>6</v>
      </c>
      <c r="I15" s="16">
        <f>SUM(F15:H15)</f>
        <v>12</v>
      </c>
      <c r="J15" s="17">
        <f>SUM('WK1:WK5'!O14)</f>
        <v>0</v>
      </c>
      <c r="K15" s="46">
        <f>IF(AND((SUM([1]Summary!J15,J15)&gt;0),[1]Summary!I15&gt;0),(I15-(([1]Summary!I15-[1]Summary!J15)-(L15*([1]Summary!I15-[1]Summary!J15))))/(IF(SUM([1]Summary!J15,J15)&gt;0,[1]Summary!J15+J15,0)),0%)</f>
        <v>0</v>
      </c>
      <c r="L15" s="46">
        <f>IF(([1]Summary!I15)&gt;0,(([1]Summary!I15-[1]Summary!J15)-(I15-J15))/(([1]Summary!I15-[1]Summary!J15)),100%)</f>
        <v>0.14285714285714285</v>
      </c>
      <c r="M15" s="46">
        <f>IF(I15=0,0%,IF((I15-[2]Sheet1!$G11+([2]Sheet1!$J11/12*1))=0, 0%,(I15-[2]Sheet1!$G11+([2]Sheet1!$J11/12*1))/([2]Sheet1!$G11+([2]Sheet1!$J11/12*1))))</f>
        <v>9.8925362381679822E-3</v>
      </c>
      <c r="N15" s="18">
        <f>SUM('WK1:WK5'!M14)</f>
        <v>10650</v>
      </c>
      <c r="O15" s="10">
        <f>(SUM('WK1:WK5'!M14)/MAX(1,INDEX(FREQUENCY('WK1:WK5'!M14,0),2)))/IF(F15+G15&gt;0,F15+G15,"1")</f>
        <v>443.75</v>
      </c>
      <c r="P15" s="46">
        <f>SUM(IF(SUM('WK1:WK5'!J14)&gt;0,SUM('WK1:WK5'!T14)/((SUM('WK1:WK5'!J14)+SUM('WK1:WK5'!K14)+SUM('WK1:WK5'!P14))*0.3),0%),IF(SUM('WK1:WK5'!J14)&gt;0,SUM('WK1:WK5'!U14)/((SUM('WK1:WK5'!J14)+SUM('WK1:WK5'!K14)+SUM('WK1:WK5'!P14))*0.1),0%),IF(SUM('WK1:WK5'!J14)&gt;0,SUM('WK1:WK5'!V14)/((SUM('WK1:WK5'!J14)+SUM('WK1:WK5'!K14)+SUM('WK1:WK5'!P14))*0.3),0%))</f>
        <v>0</v>
      </c>
      <c r="Q15" s="79">
        <f>SUM('WK1:WK5'!Z14)/MAX(1,INDEX(FREQUENCY('WK1:WK5'!Z14,0),2))</f>
        <v>0</v>
      </c>
      <c r="R15" s="78">
        <f>IF(I15&gt;0,SUM('WK1:WK5'!AE14)/MAX(1,INDEX(FREQUENCY('WK1:WK5'!AE14,0),2))/I15,0)</f>
        <v>0</v>
      </c>
      <c r="S15" s="110">
        <f>RANK($J15,(J_Love,J_Maranatha,J_Goodnews,J_Heritage,J_Oyigbo,J_Revival))</f>
        <v>17</v>
      </c>
      <c r="T15" s="110">
        <f>RANK($K15,(K_Love,K_Maranatha,K_Goodnews,K_Heritage,K_Oyigbo,K_Revival))</f>
        <v>17</v>
      </c>
      <c r="U15" s="110">
        <f>RANK($L15,(L_Love,L_Maranatha,L_Goodnews,L_Heritage,L_Oyigbo,L_Revival),1)</f>
        <v>25</v>
      </c>
      <c r="V15" s="110">
        <f>RANK($M15,(M_Love,M_Maranatha,M_Goodnews,M_Heritage,M_Oyigbo,M_Revival))</f>
        <v>10</v>
      </c>
      <c r="W15" s="110">
        <f>RANK($O15,(O_Love,O_Maranatha,O_Goodnews,O_Heritage,O_Oyigbo,O_Revival))</f>
        <v>11</v>
      </c>
      <c r="X15" s="110">
        <f>RANK($P15,(P_Love,P_Maranatha,P_Goodnews,P_Heritage,P_Oyigbo,P_Revival))</f>
        <v>1</v>
      </c>
      <c r="Y15" s="110">
        <f>RANK($Q15,(Q_Love,Q_Maranatha,Q_Goodnews,Q_Heritage,Q_Oyigbo,Q_Revival))</f>
        <v>1</v>
      </c>
      <c r="Z15" s="110">
        <f>RANK($R15,(R_Love,R_Maranatha,R_Goodnews,R_Heritage,R_Oyigbo,R_Revival))</f>
        <v>1</v>
      </c>
      <c r="AA15" s="111">
        <f t="shared" si="0"/>
        <v>83</v>
      </c>
      <c r="AB15" s="112">
        <f>RANK(AA15,(AD_Love,AD_Maranatha,AD_Goodnews,AD_Heritage,AD_Oyigbo,AD_Revival),1)</f>
        <v>19</v>
      </c>
    </row>
    <row r="16" spans="1:28" ht="15" customHeight="1" x14ac:dyDescent="0.2">
      <c r="A16" s="258"/>
      <c r="B16" s="251" t="s">
        <v>110</v>
      </c>
      <c r="C16" s="252"/>
      <c r="D16" s="252"/>
      <c r="E16" s="253"/>
      <c r="F16" s="56">
        <f>SUM(F12:F15)</f>
        <v>127</v>
      </c>
      <c r="G16" s="56">
        <f>SUM(G12:G15)</f>
        <v>150</v>
      </c>
      <c r="H16" s="56">
        <f>SUM(H12:H15)</f>
        <v>153</v>
      </c>
      <c r="I16" s="56">
        <f>SUM(I12:I15)</f>
        <v>430</v>
      </c>
      <c r="J16" s="56">
        <f>SUM(J12:J15)</f>
        <v>2</v>
      </c>
      <c r="K16" s="23">
        <f>IF(SUM(K12:K15)&gt;0,AVERAGEIF(K12:K15,"&lt;&gt;0"),0)</f>
        <v>0.20238095238095238</v>
      </c>
      <c r="L16" s="105">
        <f>IF(SUM(L12:L15)=0,100%,AVERAGEIF(L12:L15,"&lt;&gt;0"))</f>
        <v>-5.001739624835054E-2</v>
      </c>
      <c r="M16" s="105">
        <f>IF(SUM(M12:M15)=0,0%,AVERAGEIF(M12:M15,"&lt;&gt;0"))</f>
        <v>9.7983561760976737E-2</v>
      </c>
      <c r="N16" s="21">
        <f>SUM(N12:N15)</f>
        <v>405530</v>
      </c>
      <c r="O16" s="122">
        <f>IF(SUM(O12:O15)&gt;0,AVERAGEIF(O12:O15,"&lt;&gt;0"),0)</f>
        <v>444.92325599747471</v>
      </c>
      <c r="P16" s="107">
        <f>IF(SUM(P12:P15)&gt;0,AVERAGEIF(P12:P15,"&lt;&gt;0"),0%)</f>
        <v>0</v>
      </c>
      <c r="Q16" s="106">
        <f>IF(SUM(Q12:Q15)&gt;0,AVERAGEIF(Q12:Q15,"&lt;&gt;0"),0)</f>
        <v>0</v>
      </c>
      <c r="R16" s="108">
        <f>IF(SUM(R12:R15)&gt;0,AVERAGEIF(R12:R15,"&lt;&gt;0"),0)</f>
        <v>0</v>
      </c>
      <c r="S16" s="113">
        <f>RANK($J16,J_Zone)</f>
        <v>6</v>
      </c>
      <c r="T16" s="113">
        <f>RANK($K16,K_Zone)</f>
        <v>6</v>
      </c>
      <c r="U16" s="113">
        <f>RANK($L16,L_Zone)</f>
        <v>3</v>
      </c>
      <c r="V16" s="113">
        <f>RANK($M16,M_Zone)</f>
        <v>1</v>
      </c>
      <c r="W16" s="113">
        <f>RANK($O16,O_Zone)</f>
        <v>3</v>
      </c>
      <c r="X16" s="113">
        <f>RANK($P16,P_Zone)</f>
        <v>1</v>
      </c>
      <c r="Y16" s="113">
        <f>RANK($Q16,Q_Zone)</f>
        <v>1</v>
      </c>
      <c r="Z16" s="113">
        <f>RANK($R16,R_Zone)</f>
        <v>1</v>
      </c>
      <c r="AA16" s="114">
        <f t="shared" si="0"/>
        <v>22</v>
      </c>
      <c r="AB16" s="115">
        <f>RANK(AA16,AD_Zone,1)</f>
        <v>5</v>
      </c>
    </row>
    <row r="17" spans="1:28" x14ac:dyDescent="0.2">
      <c r="A17" s="249" t="s">
        <v>160</v>
      </c>
      <c r="B17" s="3" t="s">
        <v>75</v>
      </c>
      <c r="C17" s="7">
        <v>8032724075</v>
      </c>
      <c r="D17" s="9" t="s">
        <v>40</v>
      </c>
      <c r="E17" s="9" t="s">
        <v>14</v>
      </c>
      <c r="F17" s="15">
        <f>ROUNDDOWN(SUM('WK1:WK5'!B16)/MAX(1,INDEX(FREQUENCY('WK1:WK5'!B16,0),2)),0)</f>
        <v>52</v>
      </c>
      <c r="G17" s="15">
        <f>ROUNDDOWN(SUM('WK1:WK5'!C16)/MAX(1,INDEX(FREQUENCY('WK1:WK5'!C16,0),2)),0)</f>
        <v>86</v>
      </c>
      <c r="H17" s="15">
        <f>ROUNDDOWN(SUM('WK1:WK5'!D16)/MAX(1,INDEX(FREQUENCY('WK1:WK5'!D16,0),2)),0)</f>
        <v>77</v>
      </c>
      <c r="I17" s="16">
        <f>SUM(F17:H17)</f>
        <v>215</v>
      </c>
      <c r="J17" s="17">
        <f>SUM('WK1:WK5'!O16)</f>
        <v>1</v>
      </c>
      <c r="K17" s="46">
        <f>IF(AND((SUM([1]Summary!J17,J17)&gt;0),[1]Summary!I17&gt;0),(I17-(([1]Summary!I17-[1]Summary!J17)-(L17*([1]Summary!I17-[1]Summary!J17))))/(IF(SUM([1]Summary!J17,J17)&gt;0,[1]Summary!J17+J17,0)),0%)</f>
        <v>5.2631578947368418E-2</v>
      </c>
      <c r="L17" s="46">
        <f>IF(([1]Summary!I17)&gt;0,(([1]Summary!I17-[1]Summary!J17)-(I17-J17))/(([1]Summary!I17-[1]Summary!J17)),100%)</f>
        <v>-0.49650349650349651</v>
      </c>
      <c r="M17" s="46">
        <f>IF(I17=0,0%,IF((I17-[2]Sheet1!$G13+([2]Sheet1!$J13/12*1))=0, 0%,(I17-[2]Sheet1!$G13+([2]Sheet1!$J13/12*1))/([2]Sheet1!$G13+([2]Sheet1!$J13/12*1))))</f>
        <v>7.0693948738234161E-2</v>
      </c>
      <c r="N17" s="18">
        <f>SUM('WK1:WK5'!M16)</f>
        <v>258640</v>
      </c>
      <c r="O17" s="10">
        <f>(SUM('WK1:WK5'!M16)/MAX(1,INDEX(FREQUENCY('WK1:WK5'!M16,0),2)))/IF(F17+G17&gt;0,F17+G17,"1")</f>
        <v>468.55072463768118</v>
      </c>
      <c r="P17" s="46">
        <f>SUM(IF(SUM('WK1:WK5'!J16)&gt;0,SUM('WK1:WK5'!T16)/((SUM('WK1:WK5'!J16)+SUM('WK1:WK5'!K16)+SUM('WK1:WK5'!P16))*0.3),0%),IF(SUM('WK1:WK5'!J16)&gt;0,SUM('WK1:WK5'!U16)/((SUM('WK1:WK5'!J16)+SUM('WK1:WK5'!K16)+SUM('WK1:WK5'!P16))*0.1),0%),IF(SUM('WK1:WK5'!J16)&gt;0,SUM('WK1:WK5'!V16)/((SUM('WK1:WK5'!J16)+SUM('WK1:WK5'!K16)+SUM('WK1:WK5'!P16))*0.3),0%))</f>
        <v>0</v>
      </c>
      <c r="Q17" s="79">
        <f>SUM('WK1:WK5'!Z16)/MAX(1,INDEX(FREQUENCY('WK1:WK5'!Z16,0),2))</f>
        <v>0</v>
      </c>
      <c r="R17" s="78">
        <f>IF(I17&gt;0,SUM('WK1:WK5'!AE16)/MAX(1,INDEX(FREQUENCY('WK1:WK5'!AE16,0),2))/I17,0)</f>
        <v>0</v>
      </c>
      <c r="S17" s="110">
        <f>RANK($J17,(J_Love,J_Maranatha,J_Goodnews,J_Heritage,J_Oyigbo,J_Revival))</f>
        <v>13</v>
      </c>
      <c r="T17" s="110">
        <f>RANK($K17,(K_Love,K_Maranatha,K_Goodnews,K_Heritage,K_Oyigbo,K_Revival))</f>
        <v>16</v>
      </c>
      <c r="U17" s="110">
        <f>RANK($L17,(L_Love,L_Maranatha,L_Goodnews,L_Heritage,L_Oyigbo,L_Revival),1)</f>
        <v>4</v>
      </c>
      <c r="V17" s="110">
        <f>RANK($M17,(M_Love,M_Maranatha,M_Goodnews,M_Heritage,M_Oyigbo,M_Revival))</f>
        <v>7</v>
      </c>
      <c r="W17" s="110">
        <f>RANK($O17,(O_Love,O_Maranatha,O_Goodnews,O_Heritage,O_Oyigbo,O_Revival))</f>
        <v>9</v>
      </c>
      <c r="X17" s="110">
        <f>RANK($P17,(P_Love,P_Maranatha,P_Goodnews,P_Heritage,P_Oyigbo,P_Revival))</f>
        <v>1</v>
      </c>
      <c r="Y17" s="110">
        <f>RANK($Q17,(Q_Love,Q_Maranatha,Q_Goodnews,Q_Heritage,Q_Oyigbo,Q_Revival))</f>
        <v>1</v>
      </c>
      <c r="Z17" s="110">
        <f>RANK($R17,(R_Love,R_Maranatha,R_Goodnews,R_Heritage,R_Oyigbo,R_Revival))</f>
        <v>1</v>
      </c>
      <c r="AA17" s="111">
        <f t="shared" si="0"/>
        <v>52</v>
      </c>
      <c r="AB17" s="112">
        <f>RANK(AA17,(AD_Love,AD_Maranatha,AD_Goodnews,AD_Heritage,AD_Oyigbo,AD_Revival),1)</f>
        <v>4</v>
      </c>
    </row>
    <row r="18" spans="1:28" x14ac:dyDescent="0.2">
      <c r="A18" s="249"/>
      <c r="B18" s="3" t="s">
        <v>76</v>
      </c>
      <c r="C18" s="7">
        <v>8029571213</v>
      </c>
      <c r="D18" s="9" t="s">
        <v>135</v>
      </c>
      <c r="E18" s="9" t="s">
        <v>15</v>
      </c>
      <c r="F18" s="15">
        <f>ROUNDDOWN(SUM('WK1:WK5'!B17)/MAX(1,INDEX(FREQUENCY('WK1:WK5'!B17,0),2)),0)</f>
        <v>59</v>
      </c>
      <c r="G18" s="15">
        <f>ROUNDDOWN(SUM('WK1:WK5'!C17)/MAX(1,INDEX(FREQUENCY('WK1:WK5'!C17,0),2)),0)</f>
        <v>82</v>
      </c>
      <c r="H18" s="15">
        <f>ROUNDDOWN(SUM('WK1:WK5'!D17)/MAX(1,INDEX(FREQUENCY('WK1:WK5'!D17,0),2)),0)</f>
        <v>110</v>
      </c>
      <c r="I18" s="16">
        <f>SUM(F18:H18)</f>
        <v>251</v>
      </c>
      <c r="J18" s="17">
        <f>SUM('WK1:WK5'!O17)</f>
        <v>14</v>
      </c>
      <c r="K18" s="46">
        <f>IF(AND((SUM([1]Summary!J18,J18)&gt;0),[1]Summary!I18&gt;0),(I18-(([1]Summary!I18-[1]Summary!J18)-(L18*([1]Summary!I18-[1]Summary!J18))))/(IF(SUM([1]Summary!J18,J18)&gt;0,[1]Summary!J18+J18,0)),0%)</f>
        <v>1</v>
      </c>
      <c r="L18" s="46">
        <f>IF(([1]Summary!I18)&gt;0,(([1]Summary!I18-[1]Summary!J18)-(I18-J18))/(([1]Summary!I18-[1]Summary!J18)),100%)</f>
        <v>-0.15609756097560976</v>
      </c>
      <c r="M18" s="46">
        <f>IF(I18=0,0%,IF((I18-[2]Sheet1!$G14+([2]Sheet1!$J14/12*1))=0, 0%,(I18-[2]Sheet1!$G14+([2]Sheet1!$J14/12*1))/([2]Sheet1!$G14+([2]Sheet1!$J14/12*1))))</f>
        <v>-0.1446263498447154</v>
      </c>
      <c r="N18" s="18">
        <f>SUM('WK1:WK5'!M17)</f>
        <v>198270</v>
      </c>
      <c r="O18" s="10">
        <f>(SUM('WK1:WK5'!M17)/MAX(1,INDEX(FREQUENCY('WK1:WK5'!M17,0),2)))/IF(F18+G18&gt;0,F18+G18,"1")</f>
        <v>351.54255319148939</v>
      </c>
      <c r="P18" s="46">
        <f>SUM(IF(SUM('WK1:WK5'!J17)&gt;0,SUM('WK1:WK5'!T17)/((SUM('WK1:WK5'!J17)+SUM('WK1:WK5'!K17)+SUM('WK1:WK5'!P17))*0.3),0%),IF(SUM('WK1:WK5'!J17)&gt;0,SUM('WK1:WK5'!U17)/((SUM('WK1:WK5'!J17)+SUM('WK1:WK5'!K17)+SUM('WK1:WK5'!P17))*0.1),0%),IF(SUM('WK1:WK5'!J17)&gt;0,SUM('WK1:WK5'!V17)/((SUM('WK1:WK5'!J17)+SUM('WK1:WK5'!K17)+SUM('WK1:WK5'!P17))*0.3),0%))</f>
        <v>0</v>
      </c>
      <c r="Q18" s="79">
        <f>SUM('WK1:WK5'!Z17)/MAX(1,INDEX(FREQUENCY('WK1:WK5'!Z17,0),2))</f>
        <v>0</v>
      </c>
      <c r="R18" s="78">
        <f>IF(I18&gt;0,SUM('WK1:WK5'!AE17)/MAX(1,INDEX(FREQUENCY('WK1:WK5'!AE17,0),2))/I18,0)</f>
        <v>0</v>
      </c>
      <c r="S18" s="110">
        <f>RANK($J18,(J_Love,J_Maranatha,J_Goodnews,J_Heritage,J_Oyigbo,J_Revival))</f>
        <v>1</v>
      </c>
      <c r="T18" s="110">
        <f>RANK($K18,(K_Love,K_Maranatha,K_Goodnews,K_Heritage,K_Oyigbo,K_Revival))</f>
        <v>1</v>
      </c>
      <c r="U18" s="110">
        <f>RANK($L18,(L_Love,L_Maranatha,L_Goodnews,L_Heritage,L_Oyigbo,L_Revival),1)</f>
        <v>14</v>
      </c>
      <c r="V18" s="110">
        <f>RANK($M18,(M_Love,M_Maranatha,M_Goodnews,M_Heritage,M_Oyigbo,M_Revival))</f>
        <v>29</v>
      </c>
      <c r="W18" s="110">
        <f>RANK($O18,(O_Love,O_Maranatha,O_Goodnews,O_Heritage,O_Oyigbo,O_Revival))</f>
        <v>15</v>
      </c>
      <c r="X18" s="110">
        <f>RANK($P18,(P_Love,P_Maranatha,P_Goodnews,P_Heritage,P_Oyigbo,P_Revival))</f>
        <v>1</v>
      </c>
      <c r="Y18" s="110">
        <f>RANK($Q18,(Q_Love,Q_Maranatha,Q_Goodnews,Q_Heritage,Q_Oyigbo,Q_Revival))</f>
        <v>1</v>
      </c>
      <c r="Z18" s="110">
        <f>RANK($R18,(R_Love,R_Maranatha,R_Goodnews,R_Heritage,R_Oyigbo,R_Revival))</f>
        <v>1</v>
      </c>
      <c r="AA18" s="111">
        <f t="shared" si="0"/>
        <v>63</v>
      </c>
      <c r="AB18" s="112">
        <f>RANK(AA18,(AD_Love,AD_Maranatha,AD_Goodnews,AD_Heritage,AD_Oyigbo,AD_Revival),1)</f>
        <v>9</v>
      </c>
    </row>
    <row r="19" spans="1:28" x14ac:dyDescent="0.2">
      <c r="A19" s="249"/>
      <c r="B19" s="3" t="s">
        <v>77</v>
      </c>
      <c r="C19" s="7">
        <v>8168413880</v>
      </c>
      <c r="D19" s="9" t="s">
        <v>64</v>
      </c>
      <c r="E19" s="9" t="s">
        <v>16</v>
      </c>
      <c r="F19" s="15">
        <f>ROUNDDOWN(SUM('WK1:WK5'!B18)/MAX(1,INDEX(FREQUENCY('WK1:WK5'!B18,0),2)),0)</f>
        <v>9</v>
      </c>
      <c r="G19" s="15">
        <f>ROUNDDOWN(SUM('WK1:WK5'!C18)/MAX(1,INDEX(FREQUENCY('WK1:WK5'!C18,0),2)),0)</f>
        <v>19</v>
      </c>
      <c r="H19" s="15">
        <f>ROUNDDOWN(SUM('WK1:WK5'!D18)/MAX(1,INDEX(FREQUENCY('WK1:WK5'!D18,0),2)),0)</f>
        <v>19</v>
      </c>
      <c r="I19" s="16">
        <f>SUM(F19:H19)</f>
        <v>47</v>
      </c>
      <c r="J19" s="17">
        <f>SUM('WK1:WK5'!O18)</f>
        <v>0</v>
      </c>
      <c r="K19" s="46">
        <f>IF(AND((SUM([1]Summary!J19,J19)&gt;0),[1]Summary!I19&gt;0),(I19-(([1]Summary!I19-[1]Summary!J19)-(L19*([1]Summary!I19-[1]Summary!J19))))/(IF(SUM([1]Summary!J19,J19)&gt;0,[1]Summary!J19+J19,0)),0%)</f>
        <v>0</v>
      </c>
      <c r="L19" s="46">
        <f>IF(([1]Summary!I19)&gt;0,(([1]Summary!I19-[1]Summary!J19)-(I19-J19))/(([1]Summary!I19-[1]Summary!J19)),100%)</f>
        <v>-2.1739130434782608E-2</v>
      </c>
      <c r="M19" s="46">
        <f>IF(I19=0,0%,IF((I19-[2]Sheet1!$G15+([2]Sheet1!$J15/12*1))=0, 0%,(I19-[2]Sheet1!$G15+([2]Sheet1!$J15/12*1))/([2]Sheet1!$G15+([2]Sheet1!$J15/12*1))))</f>
        <v>-0.1483597493549576</v>
      </c>
      <c r="N19" s="18">
        <f>SUM('WK1:WK5'!M18)</f>
        <v>80400</v>
      </c>
      <c r="O19" s="10">
        <f>(SUM('WK1:WK5'!M18)/MAX(1,INDEX(FREQUENCY('WK1:WK5'!M18,0),2)))/IF(F19+G19&gt;0,F19+G19,"1")</f>
        <v>717.85714285714289</v>
      </c>
      <c r="P19" s="46">
        <f>SUM(IF(SUM('WK1:WK5'!J18)&gt;0,SUM('WK1:WK5'!T18)/((SUM('WK1:WK5'!J18)+SUM('WK1:WK5'!K18)+SUM('WK1:WK5'!P18))*0.3),0%),IF(SUM('WK1:WK5'!J18)&gt;0,SUM('WK1:WK5'!U18)/((SUM('WK1:WK5'!J18)+SUM('WK1:WK5'!K18)+SUM('WK1:WK5'!P18))*0.1),0%),IF(SUM('WK1:WK5'!J18)&gt;0,SUM('WK1:WK5'!V18)/((SUM('WK1:WK5'!J18)+SUM('WK1:WK5'!K18)+SUM('WK1:WK5'!P18))*0.3),0%))</f>
        <v>0</v>
      </c>
      <c r="Q19" s="79">
        <f>SUM('WK1:WK5'!Z18)/MAX(1,INDEX(FREQUENCY('WK1:WK5'!Z18,0),2))</f>
        <v>0</v>
      </c>
      <c r="R19" s="78">
        <f>IF(I19&gt;0,SUM('WK1:WK5'!AE18)/MAX(1,INDEX(FREQUENCY('WK1:WK5'!AE18,0),2))/I19,0)</f>
        <v>0</v>
      </c>
      <c r="S19" s="110">
        <f>RANK($J19,(J_Love,J_Maranatha,J_Goodnews,J_Heritage,J_Oyigbo,J_Revival))</f>
        <v>17</v>
      </c>
      <c r="T19" s="110">
        <f>RANK($K19,(K_Love,K_Maranatha,K_Goodnews,K_Heritage,K_Oyigbo,K_Revival))</f>
        <v>17</v>
      </c>
      <c r="U19" s="110">
        <f>RANK($L19,(L_Love,L_Maranatha,L_Goodnews,L_Heritage,L_Oyigbo,L_Revival),1)</f>
        <v>20</v>
      </c>
      <c r="V19" s="110">
        <f>RANK($M19,(M_Love,M_Maranatha,M_Goodnews,M_Heritage,M_Oyigbo,M_Revival))</f>
        <v>30</v>
      </c>
      <c r="W19" s="110">
        <f>RANK($O19,(O_Love,O_Maranatha,O_Goodnews,O_Heritage,O_Oyigbo,O_Revival))</f>
        <v>3</v>
      </c>
      <c r="X19" s="110">
        <f>RANK($P19,(P_Love,P_Maranatha,P_Goodnews,P_Heritage,P_Oyigbo,P_Revival))</f>
        <v>1</v>
      </c>
      <c r="Y19" s="110">
        <f>RANK($Q19,(Q_Love,Q_Maranatha,Q_Goodnews,Q_Heritage,Q_Oyigbo,Q_Revival))</f>
        <v>1</v>
      </c>
      <c r="Z19" s="110">
        <f>RANK($R19,(R_Love,R_Maranatha,R_Goodnews,R_Heritage,R_Oyigbo,R_Revival))</f>
        <v>1</v>
      </c>
      <c r="AA19" s="111">
        <f t="shared" si="0"/>
        <v>90</v>
      </c>
      <c r="AB19" s="112">
        <f>RANK(AA19,(AD_Love,AD_Maranatha,AD_Goodnews,AD_Heritage,AD_Oyigbo,AD_Revival),1)</f>
        <v>21</v>
      </c>
    </row>
    <row r="20" spans="1:28" x14ac:dyDescent="0.2">
      <c r="A20" s="249"/>
      <c r="B20" s="3" t="s">
        <v>78</v>
      </c>
      <c r="C20" s="7">
        <v>8064324665</v>
      </c>
      <c r="D20" s="9" t="s">
        <v>48</v>
      </c>
      <c r="E20" s="9" t="s">
        <v>17</v>
      </c>
      <c r="F20" s="15">
        <f>ROUNDDOWN(SUM('WK1:WK5'!B19)/MAX(1,INDEX(FREQUENCY('WK1:WK5'!B19,0),2)),0)</f>
        <v>4</v>
      </c>
      <c r="G20" s="15">
        <f>ROUNDDOWN(SUM('WK1:WK5'!C19)/MAX(1,INDEX(FREQUENCY('WK1:WK5'!C19,0),2)),0)</f>
        <v>2</v>
      </c>
      <c r="H20" s="15">
        <f>ROUNDDOWN(SUM('WK1:WK5'!D19)/MAX(1,INDEX(FREQUENCY('WK1:WK5'!D19,0),2)),0)</f>
        <v>5</v>
      </c>
      <c r="I20" s="16">
        <f>SUM(F20:H20)</f>
        <v>11</v>
      </c>
      <c r="J20" s="17">
        <f>SUM('WK1:WK5'!O19)</f>
        <v>2</v>
      </c>
      <c r="K20" s="46">
        <f>IF(AND((SUM([1]Summary!J20,J20)&gt;0),[1]Summary!I20&gt;0),(I20-(([1]Summary!I20-[1]Summary!J20)-(L20*([1]Summary!I20-[1]Summary!J20))))/(IF(SUM([1]Summary!J20,J20)&gt;0,[1]Summary!J20+J20,0)),0%)</f>
        <v>0.4</v>
      </c>
      <c r="L20" s="46">
        <f>IF(([1]Summary!I20)&gt;0,(([1]Summary!I20-[1]Summary!J20)-(I20-J20))/(([1]Summary!I20-[1]Summary!J20)),100%)</f>
        <v>0.25</v>
      </c>
      <c r="M20" s="46">
        <f>IF(I20=0,0%,IF((I20-[2]Sheet1!$G16+([2]Sheet1!$J16/12*1))=0, 0%,(I20-[2]Sheet1!$G16+([2]Sheet1!$J16/12*1))/([2]Sheet1!$G16+([2]Sheet1!$J16/12*1))))</f>
        <v>-0.12111617722983521</v>
      </c>
      <c r="N20" s="18">
        <f>SUM('WK1:WK5'!M19)</f>
        <v>40800</v>
      </c>
      <c r="O20" s="10">
        <f>(SUM('WK1:WK5'!M19)/MAX(1,INDEX(FREQUENCY('WK1:WK5'!M19,0),2)))/IF(F20+G20&gt;0,F20+G20,"1")</f>
        <v>1700</v>
      </c>
      <c r="P20" s="46">
        <f>SUM(IF(SUM('WK1:WK5'!J19)&gt;0,SUM('WK1:WK5'!T19)/((SUM('WK1:WK5'!J19)+SUM('WK1:WK5'!K19)+SUM('WK1:WK5'!P19))*0.3),0%),IF(SUM('WK1:WK5'!J19)&gt;0,SUM('WK1:WK5'!U19)/((SUM('WK1:WK5'!J19)+SUM('WK1:WK5'!K19)+SUM('WK1:WK5'!P19))*0.1),0%),IF(SUM('WK1:WK5'!J19)&gt;0,SUM('WK1:WK5'!V19)/((SUM('WK1:WK5'!J19)+SUM('WK1:WK5'!K19)+SUM('WK1:WK5'!P19))*0.3),0%))</f>
        <v>0</v>
      </c>
      <c r="Q20" s="79">
        <f>SUM('WK1:WK5'!Z19)/MAX(1,INDEX(FREQUENCY('WK1:WK5'!Z19,0),2))</f>
        <v>0</v>
      </c>
      <c r="R20" s="78">
        <f>IF(I20&gt;0,SUM('WK1:WK5'!AE19)/MAX(1,INDEX(FREQUENCY('WK1:WK5'!AE19,0),2))/I20,0)</f>
        <v>0</v>
      </c>
      <c r="S20" s="110">
        <f>RANK($J20,(J_Love,J_Maranatha,J_Goodnews,J_Heritage,J_Oyigbo,J_Revival))</f>
        <v>9</v>
      </c>
      <c r="T20" s="110">
        <f>RANK($K20,(K_Love,K_Maranatha,K_Goodnews,K_Heritage,K_Oyigbo,K_Revival))</f>
        <v>8</v>
      </c>
      <c r="U20" s="110">
        <f>RANK($L20,(L_Love,L_Maranatha,L_Goodnews,L_Heritage,L_Oyigbo,L_Revival),1)</f>
        <v>27</v>
      </c>
      <c r="V20" s="110">
        <f>RANK($M20,(M_Love,M_Maranatha,M_Goodnews,M_Heritage,M_Oyigbo,M_Revival))</f>
        <v>27</v>
      </c>
      <c r="W20" s="110">
        <f>RANK($O20,(O_Love,O_Maranatha,O_Goodnews,O_Heritage,O_Oyigbo,O_Revival))</f>
        <v>1</v>
      </c>
      <c r="X20" s="110">
        <f>RANK($P20,(P_Love,P_Maranatha,P_Goodnews,P_Heritage,P_Oyigbo,P_Revival))</f>
        <v>1</v>
      </c>
      <c r="Y20" s="110">
        <f>RANK($Q20,(Q_Love,Q_Maranatha,Q_Goodnews,Q_Heritage,Q_Oyigbo,Q_Revival))</f>
        <v>1</v>
      </c>
      <c r="Z20" s="110">
        <f>RANK($R20,(R_Love,R_Maranatha,R_Goodnews,R_Heritage,R_Oyigbo,R_Revival))</f>
        <v>1</v>
      </c>
      <c r="AA20" s="111">
        <f t="shared" si="0"/>
        <v>75</v>
      </c>
      <c r="AB20" s="112">
        <f>RANK(AA20,(AD_Love,AD_Maranatha,AD_Goodnews,AD_Heritage,AD_Oyigbo,AD_Revival),1)</f>
        <v>16</v>
      </c>
    </row>
    <row r="21" spans="1:28" x14ac:dyDescent="0.2">
      <c r="A21" s="249"/>
      <c r="B21" s="3" t="s">
        <v>79</v>
      </c>
      <c r="C21" s="7">
        <v>8174035100</v>
      </c>
      <c r="D21" s="9" t="s">
        <v>49</v>
      </c>
      <c r="E21" s="9" t="s">
        <v>18</v>
      </c>
      <c r="F21" s="15">
        <f>ROUNDDOWN(SUM('WK1:WK5'!B20)/MAX(1,INDEX(FREQUENCY('WK1:WK5'!B20,0),2)),0)</f>
        <v>13</v>
      </c>
      <c r="G21" s="15">
        <f>ROUNDDOWN(SUM('WK1:WK5'!C20)/MAX(1,INDEX(FREQUENCY('WK1:WK5'!C20,0),2)),0)</f>
        <v>20</v>
      </c>
      <c r="H21" s="15">
        <f>ROUNDDOWN(SUM('WK1:WK5'!D20)/MAX(1,INDEX(FREQUENCY('WK1:WK5'!D20,0),2)),0)</f>
        <v>27</v>
      </c>
      <c r="I21" s="16">
        <f>SUM(F21:H21)</f>
        <v>60</v>
      </c>
      <c r="J21" s="17">
        <f>SUM('WK1:WK5'!O20)</f>
        <v>2</v>
      </c>
      <c r="K21" s="46">
        <f>IF(AND((SUM([1]Summary!J21,J21)&gt;0),[1]Summary!I21&gt;0),(I21-(([1]Summary!I21-[1]Summary!J21)-(L21*([1]Summary!I21-[1]Summary!J21))))/(IF(SUM([1]Summary!J21,J21)&gt;0,[1]Summary!J21+J21,0)),0%)</f>
        <v>0.22222222222222221</v>
      </c>
      <c r="L21" s="46">
        <f>IF(([1]Summary!I21)&gt;0,(([1]Summary!I21-[1]Summary!J21)-(I21-J21))/(([1]Summary!I21-[1]Summary!J21)),100%)</f>
        <v>-0.56756756756756754</v>
      </c>
      <c r="M21" s="46">
        <f>IF(I21=0,0%,IF((I21-[2]Sheet1!$G17+([2]Sheet1!$J17/12*1))=0, 0%,(I21-[2]Sheet1!$G17+([2]Sheet1!$J17/12*1))/([2]Sheet1!$G17+([2]Sheet1!$J17/12*1))))</f>
        <v>-0.26430476355673121</v>
      </c>
      <c r="N21" s="18">
        <f>SUM('WK1:WK5'!M20)</f>
        <v>46560</v>
      </c>
      <c r="O21" s="10">
        <f>(SUM('WK1:WK5'!M20)/MAX(1,INDEX(FREQUENCY('WK1:WK5'!M20,0),2)))/IF(F21+G21&gt;0,F21+G21,"1")</f>
        <v>470.30303030303031</v>
      </c>
      <c r="P21" s="46">
        <f>SUM(IF(SUM('WK1:WK5'!J20)&gt;0,SUM('WK1:WK5'!T20)/((SUM('WK1:WK5'!J20)+SUM('WK1:WK5'!K20)+SUM('WK1:WK5'!P20))*0.3),0%),IF(SUM('WK1:WK5'!J20)&gt;0,SUM('WK1:WK5'!U20)/((SUM('WK1:WK5'!J20)+SUM('WK1:WK5'!K20)+SUM('WK1:WK5'!P20))*0.1),0%),IF(SUM('WK1:WK5'!J20)&gt;0,SUM('WK1:WK5'!V20)/((SUM('WK1:WK5'!J20)+SUM('WK1:WK5'!K20)+SUM('WK1:WK5'!P20))*0.3),0%))</f>
        <v>0</v>
      </c>
      <c r="Q21" s="79">
        <f>SUM('WK1:WK5'!Z20)/MAX(1,INDEX(FREQUENCY('WK1:WK5'!Z20,0),2))</f>
        <v>0</v>
      </c>
      <c r="R21" s="78">
        <f>IF(I21&gt;0,SUM('WK1:WK5'!AE20)/MAX(1,INDEX(FREQUENCY('WK1:WK5'!AE20,0),2))/I21,0)</f>
        <v>0</v>
      </c>
      <c r="S21" s="110">
        <f>RANK($J21,(J_Love,J_Maranatha,J_Goodnews,J_Heritage,J_Oyigbo,J_Revival))</f>
        <v>9</v>
      </c>
      <c r="T21" s="110">
        <f>RANK($K21,(K_Love,K_Maranatha,K_Goodnews,K_Heritage,K_Oyigbo,K_Revival))</f>
        <v>13</v>
      </c>
      <c r="U21" s="110">
        <f>RANK($L21,(L_Love,L_Maranatha,L_Goodnews,L_Heritage,L_Oyigbo,L_Revival),1)</f>
        <v>2</v>
      </c>
      <c r="V21" s="110">
        <f>RANK($M21,(M_Love,M_Maranatha,M_Goodnews,M_Heritage,M_Oyigbo,M_Revival))</f>
        <v>36</v>
      </c>
      <c r="W21" s="110">
        <f>RANK($O21,(O_Love,O_Maranatha,O_Goodnews,O_Heritage,O_Oyigbo,O_Revival))</f>
        <v>8</v>
      </c>
      <c r="X21" s="110">
        <f>RANK($P21,(P_Love,P_Maranatha,P_Goodnews,P_Heritage,P_Oyigbo,P_Revival))</f>
        <v>1</v>
      </c>
      <c r="Y21" s="110">
        <f>RANK($Q21,(Q_Love,Q_Maranatha,Q_Goodnews,Q_Heritage,Q_Oyigbo,Q_Revival))</f>
        <v>1</v>
      </c>
      <c r="Z21" s="110">
        <f>RANK($R21,(R_Love,R_Maranatha,R_Goodnews,R_Heritage,R_Oyigbo,R_Revival))</f>
        <v>1</v>
      </c>
      <c r="AA21" s="111">
        <f t="shared" si="0"/>
        <v>71</v>
      </c>
      <c r="AB21" s="112">
        <f>RANK(AA21,(AD_Love,AD_Maranatha,AD_Goodnews,AD_Heritage,AD_Oyigbo,AD_Revival),1)</f>
        <v>12</v>
      </c>
    </row>
    <row r="22" spans="1:28" ht="15" customHeight="1" x14ac:dyDescent="0.2">
      <c r="A22" s="249"/>
      <c r="B22" s="251" t="s">
        <v>110</v>
      </c>
      <c r="C22" s="252"/>
      <c r="D22" s="252"/>
      <c r="E22" s="253"/>
      <c r="F22" s="20">
        <f>SUM(F17:F21)</f>
        <v>137</v>
      </c>
      <c r="G22" s="20">
        <f>SUM(G17:G21)</f>
        <v>209</v>
      </c>
      <c r="H22" s="20">
        <f>SUM(H17:H21)</f>
        <v>238</v>
      </c>
      <c r="I22" s="19">
        <f>SUM(I17:I21)</f>
        <v>584</v>
      </c>
      <c r="J22" s="20">
        <f>SUM(J17:J21)</f>
        <v>19</v>
      </c>
      <c r="K22" s="23">
        <f>IF(SUM(K17:K21)&gt;0,AVERAGEIF(K17:K21,"&lt;&gt;0"),0)</f>
        <v>0.4187134502923977</v>
      </c>
      <c r="L22" s="105">
        <f>IF(SUM(L17:L21)=0,100%,AVERAGEIF(L17:L21,"&lt;&gt;0"))</f>
        <v>-0.19838155109629127</v>
      </c>
      <c r="M22" s="105">
        <f>IF(SUM(M17:M21)=0,0%,AVERAGEIF(M17:M21,"&lt;&gt;0"))</f>
        <v>-0.12154261824960107</v>
      </c>
      <c r="N22" s="21">
        <f>SUM(N17:N21)</f>
        <v>624670</v>
      </c>
      <c r="O22" s="122">
        <f>IF(SUM(O17:O21)&gt;0,AVERAGEIF(O17:O21,"&lt;&gt;0"),0)</f>
        <v>741.65069019786881</v>
      </c>
      <c r="P22" s="107">
        <f>IF(SUM(P17:P21)&gt;0,AVERAGEIF(P17:P21,"&lt;&gt;0"),0%)</f>
        <v>0</v>
      </c>
      <c r="Q22" s="106">
        <f>IF(SUM(Q17:Q21)&gt;0,AVERAGEIF(Q17:Q21,"&lt;&gt;0"),0)</f>
        <v>0</v>
      </c>
      <c r="R22" s="108">
        <f>IF(SUM(R17:R21)&gt;0,AVERAGEIF(R17:R21,"&lt;&gt;0"),0)</f>
        <v>0</v>
      </c>
      <c r="S22" s="113">
        <f>RANK($J22,J_Zone)</f>
        <v>2</v>
      </c>
      <c r="T22" s="113">
        <f>RANK($K22,K_Zone)</f>
        <v>5</v>
      </c>
      <c r="U22" s="113">
        <f>RANK($L22,L_Zone)</f>
        <v>5</v>
      </c>
      <c r="V22" s="113">
        <f>RANK($M22,M_Zone)</f>
        <v>4</v>
      </c>
      <c r="W22" s="113">
        <f>RANK($O22,O_Zone)</f>
        <v>1</v>
      </c>
      <c r="X22" s="113">
        <f>RANK($P22,P_Zone)</f>
        <v>1</v>
      </c>
      <c r="Y22" s="113">
        <f>RANK($Q22,Q_Zone)</f>
        <v>1</v>
      </c>
      <c r="Z22" s="113">
        <f>RANK($R22,R_Zone)</f>
        <v>1</v>
      </c>
      <c r="AA22" s="114">
        <f t="shared" si="0"/>
        <v>20</v>
      </c>
      <c r="AB22" s="115">
        <f>RANK(AA22,AD_Zone,1)</f>
        <v>2</v>
      </c>
    </row>
    <row r="23" spans="1:28" x14ac:dyDescent="0.2">
      <c r="A23" s="249" t="s">
        <v>130</v>
      </c>
      <c r="B23" s="3" t="s">
        <v>80</v>
      </c>
      <c r="C23" s="7">
        <v>7038053235</v>
      </c>
      <c r="D23" s="9" t="s">
        <v>43</v>
      </c>
      <c r="E23" s="9" t="s">
        <v>19</v>
      </c>
      <c r="F23" s="15">
        <f>ROUNDDOWN(SUM('WK1:WK5'!B22)/MAX(1,INDEX(FREQUENCY('WK1:WK5'!B22,0),2)),0)</f>
        <v>19</v>
      </c>
      <c r="G23" s="15">
        <f>ROUNDDOWN(SUM('WK1:WK5'!C22)/MAX(1,INDEX(FREQUENCY('WK1:WK5'!C22,0),2)),0)</f>
        <v>37</v>
      </c>
      <c r="H23" s="15">
        <f>ROUNDDOWN(SUM('WK1:WK5'!D22)/MAX(1,INDEX(FREQUENCY('WK1:WK5'!D22,0),2)),0)</f>
        <v>47</v>
      </c>
      <c r="I23" s="16">
        <f>SUM(F23:H23)</f>
        <v>103</v>
      </c>
      <c r="J23" s="17">
        <f>SUM('WK1:WK5'!O22)</f>
        <v>0</v>
      </c>
      <c r="K23" s="46">
        <f>IF(AND((SUM([1]Summary!J23,J23)&gt;0),[1]Summary!I23&gt;0),(I23-(([1]Summary!I23-[1]Summary!J23)-(L23*([1]Summary!I23-[1]Summary!J23))))/(IF(SUM([1]Summary!J23,J23)&gt;0,[1]Summary!J23+J23,0)),0%)</f>
        <v>0</v>
      </c>
      <c r="L23" s="46">
        <f>IF(([1]Summary!I23)&gt;0,(([1]Summary!I23-[1]Summary!J23)-(I23-J23))/(([1]Summary!I23-[1]Summary!J23)),100%)</f>
        <v>-0.25609756097560976</v>
      </c>
      <c r="M23" s="46">
        <f>IF(I23=0,0%,IF((I23-[2]Sheet1!$G19+([2]Sheet1!$J19/12*1))=0, 0%,(I23-[2]Sheet1!$G19+([2]Sheet1!$J19/12*1))/([2]Sheet1!$G19+([2]Sheet1!$J19/12*1))))</f>
        <v>-0.20297654741405396</v>
      </c>
      <c r="N23" s="18">
        <f>SUM('WK1:WK5'!M22)</f>
        <v>122360</v>
      </c>
      <c r="O23" s="10">
        <f>(SUM('WK1:WK5'!M22)/MAX(1,INDEX(FREQUENCY('WK1:WK5'!M22,0),2)))/IF(F23+G23&gt;0,F23+G23,"1")</f>
        <v>546.25</v>
      </c>
      <c r="P23" s="46">
        <f>SUM(IF(SUM('WK1:WK5'!J22)&gt;0,SUM('WK1:WK5'!T22)/((SUM('WK1:WK5'!J22)+SUM('WK1:WK5'!K22)+SUM('WK1:WK5'!P22))*0.3),0%),IF(SUM('WK1:WK5'!J22)&gt;0,SUM('WK1:WK5'!U22)/((SUM('WK1:WK5'!J22)+SUM('WK1:WK5'!K22)+SUM('WK1:WK5'!P22))*0.1),0%),IF(SUM('WK1:WK5'!J22)&gt;0,SUM('WK1:WK5'!V22)/((SUM('WK1:WK5'!J22)+SUM('WK1:WK5'!K22)+SUM('WK1:WK5'!P22))*0.3),0%))</f>
        <v>0</v>
      </c>
      <c r="Q23" s="79">
        <f>SUM('WK1:WK5'!Z22)/MAX(1,INDEX(FREQUENCY('WK1:WK5'!Z22,0),2))</f>
        <v>0</v>
      </c>
      <c r="R23" s="78">
        <f>IF(I23&gt;0,SUM('WK1:WK5'!AE22)/MAX(1,INDEX(FREQUENCY('WK1:WK5'!AE22,0),2))/I23,0)</f>
        <v>0</v>
      </c>
      <c r="S23" s="110">
        <f>RANK($J23,(J_Love,J_Maranatha,J_Goodnews,J_Heritage,J_Oyigbo,J_Revival))</f>
        <v>17</v>
      </c>
      <c r="T23" s="110">
        <f>RANK($K23,(K_Love,K_Maranatha,K_Goodnews,K_Heritage,K_Oyigbo,K_Revival))</f>
        <v>17</v>
      </c>
      <c r="U23" s="110">
        <f>RANK($L23,(L_Love,L_Maranatha,L_Goodnews,L_Heritage,L_Oyigbo,L_Revival),1)</f>
        <v>8</v>
      </c>
      <c r="V23" s="110">
        <f>RANK($M23,(M_Love,M_Maranatha,M_Goodnews,M_Heritage,M_Oyigbo,M_Revival))</f>
        <v>32</v>
      </c>
      <c r="W23" s="110">
        <f>RANK($O23,(O_Love,O_Maranatha,O_Goodnews,O_Heritage,O_Oyigbo,O_Revival))</f>
        <v>5</v>
      </c>
      <c r="X23" s="110">
        <f>RANK($P23,(P_Love,P_Maranatha,P_Goodnews,P_Heritage,P_Oyigbo,P_Revival))</f>
        <v>1</v>
      </c>
      <c r="Y23" s="110">
        <f>RANK($Q23,(Q_Love,Q_Maranatha,Q_Goodnews,Q_Heritage,Q_Oyigbo,Q_Revival))</f>
        <v>1</v>
      </c>
      <c r="Z23" s="110">
        <f>RANK($R23,(R_Love,R_Maranatha,R_Goodnews,R_Heritage,R_Oyigbo,R_Revival))</f>
        <v>1</v>
      </c>
      <c r="AA23" s="111">
        <f t="shared" si="0"/>
        <v>82</v>
      </c>
      <c r="AB23" s="112">
        <f>RANK(AA23,(AD_Love,AD_Maranatha,AD_Goodnews,AD_Heritage,AD_Oyigbo,AD_Revival),1)</f>
        <v>18</v>
      </c>
    </row>
    <row r="24" spans="1:28" x14ac:dyDescent="0.2">
      <c r="A24" s="249"/>
      <c r="B24" s="3" t="s">
        <v>81</v>
      </c>
      <c r="C24" s="7">
        <v>8066532318</v>
      </c>
      <c r="D24" s="9" t="s">
        <v>136</v>
      </c>
      <c r="E24" s="9" t="s">
        <v>20</v>
      </c>
      <c r="F24" s="15">
        <f>ROUNDDOWN(SUM('WK1:WK5'!B23)/MAX(1,INDEX(FREQUENCY('WK1:WK5'!B23,0),2)),0)</f>
        <v>0</v>
      </c>
      <c r="G24" s="15">
        <f>ROUNDDOWN(SUM('WK1:WK5'!C23)/MAX(1,INDEX(FREQUENCY('WK1:WK5'!C23,0),2)),0)</f>
        <v>0</v>
      </c>
      <c r="H24" s="15">
        <f>ROUNDDOWN(SUM('WK1:WK5'!D23)/MAX(1,INDEX(FREQUENCY('WK1:WK5'!D23,0),2)),0)</f>
        <v>0</v>
      </c>
      <c r="I24" s="16">
        <f>SUM(F24:H24)</f>
        <v>0</v>
      </c>
      <c r="J24" s="17">
        <f>SUM('WK1:WK5'!O23)</f>
        <v>0</v>
      </c>
      <c r="K24" s="46">
        <f>IF(AND((SUM([1]Summary!J24,J24)&gt;0),[1]Summary!I24&gt;0),(I24-(([1]Summary!I24-[1]Summary!J24)-(L24*([1]Summary!I24-[1]Summary!J24))))/(IF(SUM([1]Summary!J24,J24)&gt;0,[1]Summary!J24+J24,0)),0%)</f>
        <v>0</v>
      </c>
      <c r="L24" s="46">
        <f>IF(([1]Summary!I24)&gt;0,(([1]Summary!I24-[1]Summary!J24)-(I24-J24))/(([1]Summary!I24-[1]Summary!J24)),100%)</f>
        <v>1</v>
      </c>
      <c r="M24" s="46">
        <f>IF(I24=0,0%,IF((I24-[2]Sheet1!$G20+([2]Sheet1!$J20/12*1))=0, 0%,(I24-[2]Sheet1!$G20+([2]Sheet1!$J20/12*1))/([2]Sheet1!$G20+([2]Sheet1!$J20/12*1))))</f>
        <v>0</v>
      </c>
      <c r="N24" s="18">
        <f>SUM('WK1:WK5'!M23)</f>
        <v>0</v>
      </c>
      <c r="O24" s="10">
        <f>(SUM('WK1:WK5'!M23)/MAX(1,INDEX(FREQUENCY('WK1:WK5'!M23,0),2)))/IF(F24+G24&gt;0,F24+G24,"1")</f>
        <v>0</v>
      </c>
      <c r="P24" s="46">
        <f>SUM(IF(SUM('WK1:WK5'!J23)&gt;0,SUM('WK1:WK5'!T23)/((SUM('WK1:WK5'!J23)+SUM('WK1:WK5'!K23)+SUM('WK1:WK5'!P23))*0.3),0%),IF(SUM('WK1:WK5'!J23)&gt;0,SUM('WK1:WK5'!U23)/((SUM('WK1:WK5'!J23)+SUM('WK1:WK5'!K23)+SUM('WK1:WK5'!P23))*0.1),0%),IF(SUM('WK1:WK5'!J23)&gt;0,SUM('WK1:WK5'!V23)/((SUM('WK1:WK5'!J23)+SUM('WK1:WK5'!K23)+SUM('WK1:WK5'!P23))*0.3),0%))</f>
        <v>0</v>
      </c>
      <c r="Q24" s="79">
        <f>SUM('WK1:WK5'!Z23)/MAX(1,INDEX(FREQUENCY('WK1:WK5'!Z23,0),2))</f>
        <v>0</v>
      </c>
      <c r="R24" s="78">
        <f>IF(I24&gt;0,SUM('WK1:WK5'!AE23)/MAX(1,INDEX(FREQUENCY('WK1:WK5'!AE23,0),2))/I24,0)</f>
        <v>0</v>
      </c>
      <c r="S24" s="110">
        <f>RANK($J24,(J_Love,J_Maranatha,J_Goodnews,J_Heritage,J_Oyigbo,J_Revival))</f>
        <v>17</v>
      </c>
      <c r="T24" s="110">
        <f>RANK($K24,(K_Love,K_Maranatha,K_Goodnews,K_Heritage,K_Oyigbo,K_Revival))</f>
        <v>17</v>
      </c>
      <c r="U24" s="110">
        <f>RANK($L24,(L_Love,L_Maranatha,L_Goodnews,L_Heritage,L_Oyigbo,L_Revival),1)</f>
        <v>29</v>
      </c>
      <c r="V24" s="110">
        <f>RANK($M24,(M_Love,M_Maranatha,M_Goodnews,M_Heritage,M_Oyigbo,M_Revival))</f>
        <v>11</v>
      </c>
      <c r="W24" s="110">
        <f>RANK($O24,(O_Love,O_Maranatha,O_Goodnews,O_Heritage,O_Oyigbo,O_Revival))</f>
        <v>29</v>
      </c>
      <c r="X24" s="110">
        <f>RANK($P24,(P_Love,P_Maranatha,P_Goodnews,P_Heritage,P_Oyigbo,P_Revival))</f>
        <v>1</v>
      </c>
      <c r="Y24" s="110">
        <f>RANK($Q24,(Q_Love,Q_Maranatha,Q_Goodnews,Q_Heritage,Q_Oyigbo,Q_Revival))</f>
        <v>1</v>
      </c>
      <c r="Z24" s="110">
        <f>RANK($R24,(R_Love,R_Maranatha,R_Goodnews,R_Heritage,R_Oyigbo,R_Revival))</f>
        <v>1</v>
      </c>
      <c r="AA24" s="111">
        <f t="shared" si="0"/>
        <v>106</v>
      </c>
      <c r="AB24" s="112">
        <f>RANK(AA24,(AD_Love,AD_Maranatha,AD_Goodnews,AD_Heritage,AD_Oyigbo,AD_Revival),1)</f>
        <v>25</v>
      </c>
    </row>
    <row r="25" spans="1:28" x14ac:dyDescent="0.2">
      <c r="A25" s="249"/>
      <c r="B25" s="3" t="s">
        <v>82</v>
      </c>
      <c r="C25" s="7">
        <v>8056448547</v>
      </c>
      <c r="D25" s="9" t="s">
        <v>51</v>
      </c>
      <c r="E25" s="9" t="s">
        <v>21</v>
      </c>
      <c r="F25" s="15">
        <f>ROUNDDOWN(SUM('WK1:WK5'!B24)/MAX(1,INDEX(FREQUENCY('WK1:WK5'!B24,0),2)),0)</f>
        <v>42</v>
      </c>
      <c r="G25" s="15">
        <f>ROUNDDOWN(SUM('WK1:WK5'!C24)/MAX(1,INDEX(FREQUENCY('WK1:WK5'!C24,0),2)),0)</f>
        <v>66</v>
      </c>
      <c r="H25" s="15">
        <f>ROUNDDOWN(SUM('WK1:WK5'!D24)/MAX(1,INDEX(FREQUENCY('WK1:WK5'!D24,0),2)),0)</f>
        <v>61</v>
      </c>
      <c r="I25" s="16">
        <f>SUM(F25:H25)</f>
        <v>169</v>
      </c>
      <c r="J25" s="17">
        <f>SUM('WK1:WK5'!O24)</f>
        <v>2</v>
      </c>
      <c r="K25" s="46">
        <f>IF(AND((SUM([1]Summary!J25,J25)&gt;0),[1]Summary!I25&gt;0),(I25-(([1]Summary!I25-[1]Summary!J25)-(L25*([1]Summary!I25-[1]Summary!J25))))/(IF(SUM([1]Summary!J25,J25)&gt;0,[1]Summary!J25+J25,0)),0%)</f>
        <v>0.33333333333333331</v>
      </c>
      <c r="L25" s="46">
        <f>IF(([1]Summary!I25)&gt;0,(([1]Summary!I25-[1]Summary!J25)-(I25-J25))/(([1]Summary!I25-[1]Summary!J25)),100%)</f>
        <v>-0.19285714285714287</v>
      </c>
      <c r="M25" s="46">
        <f>IF(I25=0,0%,IF((I25-[2]Sheet1!$G21+([2]Sheet1!$J21/12*1))=0, 0%,(I25-[2]Sheet1!$G21+([2]Sheet1!$J21/12*1))/([2]Sheet1!$G21+([2]Sheet1!$J21/12*1))))</f>
        <v>-0.21353671658961418</v>
      </c>
      <c r="N25" s="18">
        <f>SUM('WK1:WK5'!M24)</f>
        <v>233155</v>
      </c>
      <c r="O25" s="10">
        <f>(SUM('WK1:WK5'!M24)/MAX(1,INDEX(FREQUENCY('WK1:WK5'!M24,0),2)))/IF(F25+G25&gt;0,F25+G25,"1")</f>
        <v>539.71064814814815</v>
      </c>
      <c r="P25" s="46">
        <f>SUM(IF(SUM('WK1:WK5'!J24)&gt;0,SUM('WK1:WK5'!T24)/((SUM('WK1:WK5'!J24)+SUM('WK1:WK5'!K24)+SUM('WK1:WK5'!P24))*0.3),0%),IF(SUM('WK1:WK5'!J24)&gt;0,SUM('WK1:WK5'!U24)/((SUM('WK1:WK5'!J24)+SUM('WK1:WK5'!K24)+SUM('WK1:WK5'!P24))*0.1),0%),IF(SUM('WK1:WK5'!J24)&gt;0,SUM('WK1:WK5'!V24)/((SUM('WK1:WK5'!J24)+SUM('WK1:WK5'!K24)+SUM('WK1:WK5'!P24))*0.3),0%))</f>
        <v>0</v>
      </c>
      <c r="Q25" s="79">
        <f>SUM('WK1:WK5'!Z24)/MAX(1,INDEX(FREQUENCY('WK1:WK5'!Z24,0),2))</f>
        <v>0</v>
      </c>
      <c r="R25" s="78">
        <f>IF(I25&gt;0,SUM('WK1:WK5'!AE24)/MAX(1,INDEX(FREQUENCY('WK1:WK5'!AE24,0),2))/I25,0)</f>
        <v>0</v>
      </c>
      <c r="S25" s="110">
        <f>RANK($J25,(J_Love,J_Maranatha,J_Goodnews,J_Heritage,J_Oyigbo,J_Revival))</f>
        <v>9</v>
      </c>
      <c r="T25" s="110">
        <f>RANK($K25,(K_Love,K_Maranatha,K_Goodnews,K_Heritage,K_Oyigbo,K_Revival))</f>
        <v>10</v>
      </c>
      <c r="U25" s="110">
        <f>RANK($L25,(L_Love,L_Maranatha,L_Goodnews,L_Heritage,L_Oyigbo,L_Revival),1)</f>
        <v>11</v>
      </c>
      <c r="V25" s="110">
        <f>RANK($M25,(M_Love,M_Maranatha,M_Goodnews,M_Heritage,M_Oyigbo,M_Revival))</f>
        <v>34</v>
      </c>
      <c r="W25" s="110">
        <f>RANK($O25,(O_Love,O_Maranatha,O_Goodnews,O_Heritage,O_Oyigbo,O_Revival))</f>
        <v>6</v>
      </c>
      <c r="X25" s="110">
        <f>RANK($P25,(P_Love,P_Maranatha,P_Goodnews,P_Heritage,P_Oyigbo,P_Revival))</f>
        <v>1</v>
      </c>
      <c r="Y25" s="110">
        <f>RANK($Q25,(Q_Love,Q_Maranatha,Q_Goodnews,Q_Heritage,Q_Oyigbo,Q_Revival))</f>
        <v>1</v>
      </c>
      <c r="Z25" s="110">
        <f>RANK($R25,(R_Love,R_Maranatha,R_Goodnews,R_Heritage,R_Oyigbo,R_Revival))</f>
        <v>1</v>
      </c>
      <c r="AA25" s="111">
        <f t="shared" si="0"/>
        <v>73</v>
      </c>
      <c r="AB25" s="112">
        <f>RANK(AA25,(AD_Love,AD_Maranatha,AD_Goodnews,AD_Heritage,AD_Oyigbo,AD_Revival),1)</f>
        <v>14</v>
      </c>
    </row>
    <row r="26" spans="1:28" x14ac:dyDescent="0.2">
      <c r="A26" s="249"/>
      <c r="B26" s="3" t="s">
        <v>80</v>
      </c>
      <c r="C26" s="7">
        <v>9057050605</v>
      </c>
      <c r="D26" s="9" t="s">
        <v>137</v>
      </c>
      <c r="E26" s="9" t="s">
        <v>109</v>
      </c>
      <c r="F26" s="15">
        <f>ROUNDDOWN(SUM('WK1:WK5'!B25)/MAX(1,INDEX(FREQUENCY('WK1:WK5'!B25,0),2)),0)</f>
        <v>9</v>
      </c>
      <c r="G26" s="15">
        <f>ROUNDDOWN(SUM('WK1:WK5'!C25)/MAX(1,INDEX(FREQUENCY('WK1:WK5'!C25,0),2)),0)</f>
        <v>8</v>
      </c>
      <c r="H26" s="15">
        <f>ROUNDDOWN(SUM('WK1:WK5'!D25)/MAX(1,INDEX(FREQUENCY('WK1:WK5'!D25,0),2)),0)</f>
        <v>10</v>
      </c>
      <c r="I26" s="16">
        <f>SUM(F26:H26)</f>
        <v>27</v>
      </c>
      <c r="J26" s="17">
        <f>SUM('WK1:WK5'!O25)</f>
        <v>3</v>
      </c>
      <c r="K26" s="46">
        <f>IF(AND((SUM([1]Summary!J26,J26)&gt;0),[1]Summary!I26&gt;0),(I26-(([1]Summary!I26-[1]Summary!J26)-(L26*([1]Summary!I26-[1]Summary!J26))))/(IF(SUM([1]Summary!J26,J26)&gt;0,[1]Summary!J26+J26,0)),0%)</f>
        <v>0.6</v>
      </c>
      <c r="L26" s="46">
        <f>IF(([1]Summary!I26)&gt;0,(([1]Summary!I26-[1]Summary!J26)-(I26-J26))/(([1]Summary!I26-[1]Summary!J26)),100%)</f>
        <v>-0.26315789473684209</v>
      </c>
      <c r="M26" s="46">
        <f>IF(I26=0,0%,IF((I26-[2]Sheet1!$G22+([2]Sheet1!$J22/12*1))=0, 0%,(I26-[2]Sheet1!$G22+([2]Sheet1!$J22/12*1))/([2]Sheet1!$G22+([2]Sheet1!$J22/12*1))))</f>
        <v>-1.5821699125000383E-2</v>
      </c>
      <c r="N26" s="18">
        <f>SUM('WK1:WK5'!M25)</f>
        <v>38940</v>
      </c>
      <c r="O26" s="10">
        <f>(SUM('WK1:WK5'!M25)/MAX(1,INDEX(FREQUENCY('WK1:WK5'!M25,0),2)))/IF(F26+G26&gt;0,F26+G26,"1")</f>
        <v>572.64705882352939</v>
      </c>
      <c r="P26" s="46">
        <f>SUM(IF(SUM('WK1:WK5'!J25)&gt;0,SUM('WK1:WK5'!T25)/((SUM('WK1:WK5'!J25)+SUM('WK1:WK5'!K25)+SUM('WK1:WK5'!P25))*0.3),0%),IF(SUM('WK1:WK5'!J25)&gt;0,SUM('WK1:WK5'!U25)/((SUM('WK1:WK5'!J25)+SUM('WK1:WK5'!K25)+SUM('WK1:WK5'!P25))*0.1),0%),IF(SUM('WK1:WK5'!J25)&gt;0,SUM('WK1:WK5'!V25)/((SUM('WK1:WK5'!J25)+SUM('WK1:WK5'!K25)+SUM('WK1:WK5'!P25))*0.3),0%))</f>
        <v>0</v>
      </c>
      <c r="Q26" s="79">
        <f>SUM('WK1:WK5'!Z25)/MAX(1,INDEX(FREQUENCY('WK1:WK5'!Z25,0),2))</f>
        <v>0</v>
      </c>
      <c r="R26" s="78">
        <f>IF(I26&gt;0,SUM('WK1:WK5'!AE25)/MAX(1,INDEX(FREQUENCY('WK1:WK5'!AE25,0),2))/I26,0)</f>
        <v>0</v>
      </c>
      <c r="S26" s="110">
        <f>RANK($J26,(J_Love,J_Maranatha,J_Goodnews,J_Heritage,J_Oyigbo,J_Revival))</f>
        <v>8</v>
      </c>
      <c r="T26" s="110">
        <f>RANK($K26,(K_Love,K_Maranatha,K_Goodnews,K_Heritage,K_Oyigbo,K_Revival))</f>
        <v>7</v>
      </c>
      <c r="U26" s="110">
        <f>RANK($L26,(L_Love,L_Maranatha,L_Goodnews,L_Heritage,L_Oyigbo,L_Revival),1)</f>
        <v>7</v>
      </c>
      <c r="V26" s="110">
        <f>RANK($M26,(M_Love,M_Maranatha,M_Goodnews,M_Heritage,M_Oyigbo,M_Revival))</f>
        <v>22</v>
      </c>
      <c r="W26" s="110">
        <f>RANK($O26,(O_Love,O_Maranatha,O_Goodnews,O_Heritage,O_Oyigbo,O_Revival))</f>
        <v>4</v>
      </c>
      <c r="X26" s="110">
        <f>RANK($P26,(P_Love,P_Maranatha,P_Goodnews,P_Heritage,P_Oyigbo,P_Revival))</f>
        <v>1</v>
      </c>
      <c r="Y26" s="110">
        <f>RANK($Q26,(Q_Love,Q_Maranatha,Q_Goodnews,Q_Heritage,Q_Oyigbo,Q_Revival))</f>
        <v>1</v>
      </c>
      <c r="Z26" s="110">
        <f>RANK($R26,(R_Love,R_Maranatha,R_Goodnews,R_Heritage,R_Oyigbo,R_Revival))</f>
        <v>1</v>
      </c>
      <c r="AA26" s="111">
        <f t="shared" si="0"/>
        <v>51</v>
      </c>
      <c r="AB26" s="112">
        <f>RANK(AA26,(AD_Love,AD_Maranatha,AD_Goodnews,AD_Heritage,AD_Oyigbo,AD_Revival),1)</f>
        <v>3</v>
      </c>
    </row>
    <row r="27" spans="1:28" ht="15" customHeight="1" x14ac:dyDescent="0.2">
      <c r="A27" s="249"/>
      <c r="B27" s="251" t="s">
        <v>110</v>
      </c>
      <c r="C27" s="252"/>
      <c r="D27" s="252"/>
      <c r="E27" s="253"/>
      <c r="F27" s="20">
        <f>SUM(F23:F26)</f>
        <v>70</v>
      </c>
      <c r="G27" s="20">
        <f>SUM(G23:G26)</f>
        <v>111</v>
      </c>
      <c r="H27" s="20">
        <f>SUM(H23:H26)</f>
        <v>118</v>
      </c>
      <c r="I27" s="19">
        <f>SUM(I23:I26)</f>
        <v>299</v>
      </c>
      <c r="J27" s="20">
        <f>SUM(J23:J26)</f>
        <v>5</v>
      </c>
      <c r="K27" s="23">
        <f>IF(SUM(K23:K26)&gt;0,AVERAGEIF(K23:K26,"&lt;&gt;0"),0)</f>
        <v>0.46666666666666667</v>
      </c>
      <c r="L27" s="105">
        <f>IF(SUM(L23:L26)=0,100%,AVERAGEIF(L23:L26,"&lt;&gt;0"))</f>
        <v>7.1971850357601327E-2</v>
      </c>
      <c r="M27" s="105">
        <f>IF(SUM(M23:M26)=0,0%,AVERAGEIF(M23:M26,"&lt;&gt;0"))</f>
        <v>-0.14411165437622284</v>
      </c>
      <c r="N27" s="21">
        <f>SUM(N23:N26)</f>
        <v>394455</v>
      </c>
      <c r="O27" s="122">
        <f>IF(SUM(O23:O26)&gt;0,AVERAGEIF(O23:O26,"&lt;&gt;0"),0)</f>
        <v>552.86923565722589</v>
      </c>
      <c r="P27" s="107">
        <f>IF(SUM(P23:P26)&gt;0,AVERAGEIF(P23:P26,"&lt;&gt;0"),0%)</f>
        <v>0</v>
      </c>
      <c r="Q27" s="106">
        <f>IF(SUM(Q23:Q26)&gt;0,AVERAGEIF(Q23:Q26,"&lt;&gt;0"),0)</f>
        <v>0</v>
      </c>
      <c r="R27" s="108">
        <f>IF(SUM(R23:R26)&gt;0,AVERAGEIF(R23:R26,"&lt;&gt;0"),0)</f>
        <v>0</v>
      </c>
      <c r="S27" s="113">
        <f>RANK($J27,J_Zone)</f>
        <v>4</v>
      </c>
      <c r="T27" s="113">
        <f>RANK($K27,K_Zone)</f>
        <v>4</v>
      </c>
      <c r="U27" s="113">
        <f>RANK($L27,L_Zone)</f>
        <v>2</v>
      </c>
      <c r="V27" s="113">
        <f>RANK($M27,M_Zone)</f>
        <v>6</v>
      </c>
      <c r="W27" s="113">
        <f>RANK($O27,O_Zone)</f>
        <v>2</v>
      </c>
      <c r="X27" s="113">
        <f>RANK($P27,P_Zone)</f>
        <v>1</v>
      </c>
      <c r="Y27" s="113">
        <f>RANK($Q27,Q_Zone)</f>
        <v>1</v>
      </c>
      <c r="Z27" s="113">
        <f>RANK($R27,R_Zone)</f>
        <v>1</v>
      </c>
      <c r="AA27" s="114">
        <f t="shared" si="0"/>
        <v>21</v>
      </c>
      <c r="AB27" s="115">
        <f>RANK(AA27,AD_Zone,1)</f>
        <v>3</v>
      </c>
    </row>
    <row r="28" spans="1:28" x14ac:dyDescent="0.2">
      <c r="A28" s="249" t="s">
        <v>131</v>
      </c>
      <c r="B28" s="3" t="s">
        <v>84</v>
      </c>
      <c r="C28" s="7">
        <v>8037239097</v>
      </c>
      <c r="D28" s="9" t="s">
        <v>45</v>
      </c>
      <c r="E28" s="9" t="s">
        <v>108</v>
      </c>
      <c r="F28" s="15">
        <f>ROUNDDOWN(SUM('WK1:WK5'!B27)/MAX(1,INDEX(FREQUENCY('WK1:WK5'!B27,0),2)),0)</f>
        <v>29</v>
      </c>
      <c r="G28" s="15">
        <f>ROUNDDOWN(SUM('WK1:WK5'!C27)/MAX(1,INDEX(FREQUENCY('WK1:WK5'!C27,0),2)),0)</f>
        <v>30</v>
      </c>
      <c r="H28" s="15">
        <f>ROUNDDOWN(SUM('WK1:WK5'!D27)/MAX(1,INDEX(FREQUENCY('WK1:WK5'!D27,0),2)),0)</f>
        <v>44</v>
      </c>
      <c r="I28" s="16">
        <f>SUM(F28:H28)</f>
        <v>103</v>
      </c>
      <c r="J28" s="17">
        <f>SUM('WK1:WK5'!O27)</f>
        <v>12</v>
      </c>
      <c r="K28" s="46">
        <f>IF(AND((SUM([1]Summary!J28,J28)&gt;0),[1]Summary!I28&gt;0),(I28-(([1]Summary!I28-[1]Summary!J28)-(L28*([1]Summary!I28-[1]Summary!J28))))/(IF(SUM([1]Summary!J28,J28)&gt;0,[1]Summary!J28+J28,0)),0%)</f>
        <v>0.8571428571428571</v>
      </c>
      <c r="L28" s="46">
        <f>IF(([1]Summary!I28)&gt;0,(([1]Summary!I28-[1]Summary!J28)-(I28-J28))/(([1]Summary!I28-[1]Summary!J28)),100%)</f>
        <v>-8.3333333333333329E-2</v>
      </c>
      <c r="M28" s="46">
        <f>IF(I28=0,0%,IF((I28-[2]Sheet1!$G24+([2]Sheet1!$J24/12*1))=0, 0%,(I28-[2]Sheet1!$G24+([2]Sheet1!$J24/12*1))/([2]Sheet1!$G24+([2]Sheet1!$J24/12*1))))</f>
        <v>0.16415407298193882</v>
      </c>
      <c r="N28" s="18">
        <f>SUM('WK1:WK5'!M27)</f>
        <v>68540</v>
      </c>
      <c r="O28" s="10">
        <f>(SUM('WK1:WK5'!M27)/MAX(1,INDEX(FREQUENCY('WK1:WK5'!M27,0),2)))/IF(F28+G28&gt;0,F28+G28,"1")</f>
        <v>290.42372881355931</v>
      </c>
      <c r="P28" s="46">
        <f>SUM(IF(SUM('WK1:WK5'!J27)&gt;0,SUM('WK1:WK5'!T27)/((SUM('WK1:WK5'!J27)+SUM('WK1:WK5'!K27)+SUM('WK1:WK5'!P27))*0.3),0%),IF(SUM('WK1:WK5'!J27)&gt;0,SUM('WK1:WK5'!U27)/((SUM('WK1:WK5'!J27)+SUM('WK1:WK5'!K27)+SUM('WK1:WK5'!P27))*0.1),0%),IF(SUM('WK1:WK5'!J27)&gt;0,SUM('WK1:WK5'!V27)/((SUM('WK1:WK5'!J27)+SUM('WK1:WK5'!K27)+SUM('WK1:WK5'!P27))*0.3),0%))</f>
        <v>0</v>
      </c>
      <c r="Q28" s="79">
        <f>SUM('WK1:WK5'!Z27)/MAX(1,INDEX(FREQUENCY('WK1:WK5'!Z27,0),2))</f>
        <v>0</v>
      </c>
      <c r="R28" s="78">
        <f>IF(I28&gt;0,SUM('WK1:WK5'!AE27)/MAX(1,INDEX(FREQUENCY('WK1:WK5'!AE27,0),2))/I28,0)</f>
        <v>0</v>
      </c>
      <c r="S28" s="110">
        <f>RANK($J28,(J_Love,J_Maranatha,J_Goodnews,J_Heritage,J_Oyigbo,J_Revival))</f>
        <v>2</v>
      </c>
      <c r="T28" s="110">
        <f>RANK($K28,(K_Love,K_Maranatha,K_Goodnews,K_Heritage,K_Oyigbo,K_Revival))</f>
        <v>4</v>
      </c>
      <c r="U28" s="110">
        <f>RANK($L28,(L_Love,L_Maranatha,L_Goodnews,L_Heritage,L_Oyigbo,L_Revival),1)</f>
        <v>17</v>
      </c>
      <c r="V28" s="110">
        <f>RANK($M28,(M_Love,M_Maranatha,M_Goodnews,M_Heritage,M_Oyigbo,M_Revival))</f>
        <v>4</v>
      </c>
      <c r="W28" s="110">
        <f>RANK($O28,(O_Love,O_Maranatha,O_Goodnews,O_Heritage,O_Oyigbo,O_Revival))</f>
        <v>19</v>
      </c>
      <c r="X28" s="110">
        <f>RANK($P28,(P_Love,P_Maranatha,P_Goodnews,P_Heritage,P_Oyigbo,P_Revival))</f>
        <v>1</v>
      </c>
      <c r="Y28" s="110">
        <f>RANK($Q28,(Q_Love,Q_Maranatha,Q_Goodnews,Q_Heritage,Q_Oyigbo,Q_Revival))</f>
        <v>1</v>
      </c>
      <c r="Z28" s="110">
        <f>RANK($R28,(R_Love,R_Maranatha,R_Goodnews,R_Heritage,R_Oyigbo,R_Revival))</f>
        <v>1</v>
      </c>
      <c r="AA28" s="111">
        <f t="shared" si="0"/>
        <v>49</v>
      </c>
      <c r="AB28" s="112">
        <f>RANK(AA28,(AD_Love,AD_Maranatha,AD_Goodnews,AD_Heritage,AD_Oyigbo,AD_Revival),1)</f>
        <v>2</v>
      </c>
    </row>
    <row r="29" spans="1:28" x14ac:dyDescent="0.2">
      <c r="A29" s="249"/>
      <c r="B29" s="3" t="s">
        <v>85</v>
      </c>
      <c r="C29" s="7">
        <v>8037081352</v>
      </c>
      <c r="D29" s="9" t="s">
        <v>52</v>
      </c>
      <c r="E29" s="9" t="s">
        <v>22</v>
      </c>
      <c r="F29" s="15">
        <f>ROUNDDOWN(SUM('WK1:WK5'!B28)/MAX(1,INDEX(FREQUENCY('WK1:WK5'!B28,0),2)),0)</f>
        <v>3</v>
      </c>
      <c r="G29" s="15">
        <f>ROUNDDOWN(SUM('WK1:WK5'!C28)/MAX(1,INDEX(FREQUENCY('WK1:WK5'!C28,0),2)),0)</f>
        <v>13</v>
      </c>
      <c r="H29" s="15">
        <f>ROUNDDOWN(SUM('WK1:WK5'!D28)/MAX(1,INDEX(FREQUENCY('WK1:WK5'!D28,0),2)),0)</f>
        <v>18</v>
      </c>
      <c r="I29" s="16">
        <f t="shared" ref="I29:I36" si="1">SUM(F29:H29)</f>
        <v>34</v>
      </c>
      <c r="J29" s="17">
        <f>SUM('WK1:WK5'!O28)</f>
        <v>0</v>
      </c>
      <c r="K29" s="46">
        <f>IF(AND((SUM([1]Summary!J29,J29)&gt;0),[1]Summary!I29&gt;0),(I29-(([1]Summary!I29-[1]Summary!J29)-(L29*([1]Summary!I29-[1]Summary!J29))))/(IF(SUM([1]Summary!J29,J29)&gt;0,[1]Summary!J29+J29,0)),0%)</f>
        <v>0</v>
      </c>
      <c r="L29" s="46">
        <f>IF(([1]Summary!I29)&gt;0,(([1]Summary!I29-[1]Summary!J29)-(I29-J29))/(([1]Summary!I29-[1]Summary!J29)),100%)</f>
        <v>-0.13333333333333333</v>
      </c>
      <c r="M29" s="46">
        <f>IF(I29=0,0%,IF((I29-[2]Sheet1!$G25+([2]Sheet1!$J25/12*1))=0, 0%,(I29-[2]Sheet1!$G25+([2]Sheet1!$J25/12*1))/([2]Sheet1!$G25+([2]Sheet1!$J25/12*1))))</f>
        <v>-0.34998492108702212</v>
      </c>
      <c r="N29" s="18">
        <f>SUM('WK1:WK5'!M28)</f>
        <v>16330</v>
      </c>
      <c r="O29" s="10">
        <f>(SUM('WK1:WK5'!M28)/MAX(1,INDEX(FREQUENCY('WK1:WK5'!M28,0),2)))/IF(F29+G29&gt;0,F29+G29,"1")</f>
        <v>255.15625</v>
      </c>
      <c r="P29" s="46">
        <f>SUM(IF(SUM('WK1:WK5'!J28)&gt;0,SUM('WK1:WK5'!T28)/((SUM('WK1:WK5'!J28)+SUM('WK1:WK5'!K28)+SUM('WK1:WK5'!P28))*0.3),0%),IF(SUM('WK1:WK5'!J28)&gt;0,SUM('WK1:WK5'!U28)/((SUM('WK1:WK5'!J28)+SUM('WK1:WK5'!K28)+SUM('WK1:WK5'!P28))*0.1),0%),IF(SUM('WK1:WK5'!J28)&gt;0,SUM('WK1:WK5'!V28)/((SUM('WK1:WK5'!J28)+SUM('WK1:WK5'!K28)+SUM('WK1:WK5'!P28))*0.3),0%))</f>
        <v>0</v>
      </c>
      <c r="Q29" s="79">
        <f>SUM('WK1:WK5'!Z28)/MAX(1,INDEX(FREQUENCY('WK1:WK5'!Z28,0),2))</f>
        <v>0</v>
      </c>
      <c r="R29" s="78">
        <f>IF(I29&gt;0,SUM('WK1:WK5'!AE28)/MAX(1,INDEX(FREQUENCY('WK1:WK5'!AE28,0),2))/I29,0)</f>
        <v>0</v>
      </c>
      <c r="S29" s="110">
        <f>RANK($J29,(J_Love,J_Maranatha,J_Goodnews,J_Heritage,J_Oyigbo,J_Revival))</f>
        <v>17</v>
      </c>
      <c r="T29" s="110">
        <f>RANK($K29,(K_Love,K_Maranatha,K_Goodnews,K_Heritage,K_Oyigbo,K_Revival))</f>
        <v>17</v>
      </c>
      <c r="U29" s="110">
        <f>RANK($L29,(L_Love,L_Maranatha,L_Goodnews,L_Heritage,L_Oyigbo,L_Revival),1)</f>
        <v>16</v>
      </c>
      <c r="V29" s="110">
        <f>RANK($M29,(M_Love,M_Maranatha,M_Goodnews,M_Heritage,M_Oyigbo,M_Revival))</f>
        <v>37</v>
      </c>
      <c r="W29" s="110">
        <f>RANK($O29,(O_Love,O_Maranatha,O_Goodnews,O_Heritage,O_Oyigbo,O_Revival))</f>
        <v>23</v>
      </c>
      <c r="X29" s="110">
        <f>RANK($P29,(P_Love,P_Maranatha,P_Goodnews,P_Heritage,P_Oyigbo,P_Revival))</f>
        <v>1</v>
      </c>
      <c r="Y29" s="110">
        <f>RANK($Q29,(Q_Love,Q_Maranatha,Q_Goodnews,Q_Heritage,Q_Oyigbo,Q_Revival))</f>
        <v>1</v>
      </c>
      <c r="Z29" s="110">
        <f>RANK($R29,(R_Love,R_Maranatha,R_Goodnews,R_Heritage,R_Oyigbo,R_Revival))</f>
        <v>1</v>
      </c>
      <c r="AA29" s="111">
        <f t="shared" si="0"/>
        <v>113</v>
      </c>
      <c r="AB29" s="112">
        <f>RANK(AA29,(AD_Love,AD_Maranatha,AD_Goodnews,AD_Heritage,AD_Oyigbo,AD_Revival),1)</f>
        <v>38</v>
      </c>
    </row>
    <row r="30" spans="1:28" x14ac:dyDescent="0.2">
      <c r="A30" s="249"/>
      <c r="B30" s="3" t="s">
        <v>88</v>
      </c>
      <c r="C30" s="7">
        <v>8033011811</v>
      </c>
      <c r="D30" s="9" t="s">
        <v>41</v>
      </c>
      <c r="E30" s="9" t="s">
        <v>23</v>
      </c>
      <c r="F30" s="15">
        <f>ROUNDDOWN(SUM('WK1:WK5'!B29)/MAX(1,INDEX(FREQUENCY('WK1:WK5'!B29,0),2)),0)</f>
        <v>30</v>
      </c>
      <c r="G30" s="15">
        <f>ROUNDDOWN(SUM('WK1:WK5'!C29)/MAX(1,INDEX(FREQUENCY('WK1:WK5'!C29,0),2)),0)</f>
        <v>45</v>
      </c>
      <c r="H30" s="15">
        <f>ROUNDDOWN(SUM('WK1:WK5'!D29)/MAX(1,INDEX(FREQUENCY('WK1:WK5'!D29,0),2)),0)</f>
        <v>41</v>
      </c>
      <c r="I30" s="16">
        <f t="shared" si="1"/>
        <v>116</v>
      </c>
      <c r="J30" s="17">
        <f>SUM('WK1:WK5'!O29)</f>
        <v>10</v>
      </c>
      <c r="K30" s="46">
        <f>IF(AND((SUM([1]Summary!J30,J30)&gt;0),[1]Summary!I30&gt;0),(I30-(([1]Summary!I30-[1]Summary!J30)-(L30*([1]Summary!I30-[1]Summary!J30))))/(IF(SUM([1]Summary!J30,J30)&gt;0,[1]Summary!J30+J30,0)),0%)</f>
        <v>0.7142857142857143</v>
      </c>
      <c r="L30" s="46">
        <f>IF(([1]Summary!I30)&gt;0,(([1]Summary!I30-[1]Summary!J30)-(I30-J30))/(([1]Summary!I30-[1]Summary!J30)),100%)</f>
        <v>9.3457943925233638E-3</v>
      </c>
      <c r="M30" s="46">
        <f>IF(I30=0,0%,IF((I30-[2]Sheet1!$G26+([2]Sheet1!$J26/12*1))=0, 0%,(I30-[2]Sheet1!$G26+([2]Sheet1!$J26/12*1))/([2]Sheet1!$G26+([2]Sheet1!$J26/12*1))))</f>
        <v>-8.2174147268139153E-2</v>
      </c>
      <c r="N30" s="18">
        <f>SUM('WK1:WK5'!M29)</f>
        <v>75770</v>
      </c>
      <c r="O30" s="10">
        <f>(SUM('WK1:WK5'!M29)/MAX(1,INDEX(FREQUENCY('WK1:WK5'!M29,0),2)))/IF(F30+G30&gt;0,F30+G30,"1")</f>
        <v>252.56666666666666</v>
      </c>
      <c r="P30" s="46">
        <f>SUM(IF(SUM('WK1:WK5'!J29)&gt;0,SUM('WK1:WK5'!T29)/((SUM('WK1:WK5'!J29)+SUM('WK1:WK5'!K29)+SUM('WK1:WK5'!P29))*0.3),0%),IF(SUM('WK1:WK5'!J29)&gt;0,SUM('WK1:WK5'!U29)/((SUM('WK1:WK5'!J29)+SUM('WK1:WK5'!K29)+SUM('WK1:WK5'!P29))*0.1),0%),IF(SUM('WK1:WK5'!J29)&gt;0,SUM('WK1:WK5'!V29)/((SUM('WK1:WK5'!J29)+SUM('WK1:WK5'!K29)+SUM('WK1:WK5'!P29))*0.3),0%))</f>
        <v>0</v>
      </c>
      <c r="Q30" s="79">
        <f>SUM('WK1:WK5'!Z29)/MAX(1,INDEX(FREQUENCY('WK1:WK5'!Z29,0),2))</f>
        <v>0</v>
      </c>
      <c r="R30" s="78">
        <f>IF(I30&gt;0,SUM('WK1:WK5'!AE29)/MAX(1,INDEX(FREQUENCY('WK1:WK5'!AE29,0),2))/I30,0)</f>
        <v>0</v>
      </c>
      <c r="S30" s="110">
        <f>RANK($J30,(J_Love,J_Maranatha,J_Goodnews,J_Heritage,J_Oyigbo,J_Revival))</f>
        <v>3</v>
      </c>
      <c r="T30" s="110">
        <f>RANK($K30,(K_Love,K_Maranatha,K_Goodnews,K_Heritage,K_Oyigbo,K_Revival))</f>
        <v>6</v>
      </c>
      <c r="U30" s="110">
        <f>RANK($L30,(L_Love,L_Maranatha,L_Goodnews,L_Heritage,L_Oyigbo,L_Revival),1)</f>
        <v>21</v>
      </c>
      <c r="V30" s="110">
        <f>RANK($M30,(M_Love,M_Maranatha,M_Goodnews,M_Heritage,M_Oyigbo,M_Revival))</f>
        <v>24</v>
      </c>
      <c r="W30" s="110">
        <f>RANK($O30,(O_Love,O_Maranatha,O_Goodnews,O_Heritage,O_Oyigbo,O_Revival))</f>
        <v>24</v>
      </c>
      <c r="X30" s="110">
        <f>RANK($P30,(P_Love,P_Maranatha,P_Goodnews,P_Heritage,P_Oyigbo,P_Revival))</f>
        <v>1</v>
      </c>
      <c r="Y30" s="110">
        <f>RANK($Q30,(Q_Love,Q_Maranatha,Q_Goodnews,Q_Heritage,Q_Oyigbo,Q_Revival))</f>
        <v>1</v>
      </c>
      <c r="Z30" s="110">
        <f>RANK($R30,(R_Love,R_Maranatha,R_Goodnews,R_Heritage,R_Oyigbo,R_Revival))</f>
        <v>1</v>
      </c>
      <c r="AA30" s="111">
        <f t="shared" si="0"/>
        <v>81</v>
      </c>
      <c r="AB30" s="112">
        <f>RANK(AA30,(AD_Love,AD_Maranatha,AD_Goodnews,AD_Heritage,AD_Oyigbo,AD_Revival),1)</f>
        <v>17</v>
      </c>
    </row>
    <row r="31" spans="1:28" x14ac:dyDescent="0.2">
      <c r="A31" s="249"/>
      <c r="B31" s="3" t="s">
        <v>87</v>
      </c>
      <c r="C31" s="7">
        <v>8036666983</v>
      </c>
      <c r="D31" s="58" t="s">
        <v>56</v>
      </c>
      <c r="E31" s="9" t="s">
        <v>24</v>
      </c>
      <c r="F31" s="15">
        <f>ROUNDDOWN(SUM('WK1:WK5'!B30)/MAX(1,INDEX(FREQUENCY('WK1:WK5'!B30,0),2)),0)</f>
        <v>13</v>
      </c>
      <c r="G31" s="15">
        <f>ROUNDDOWN(SUM('WK1:WK5'!C30)/MAX(1,INDEX(FREQUENCY('WK1:WK5'!C30,0),2)),0)</f>
        <v>29</v>
      </c>
      <c r="H31" s="15">
        <f>ROUNDDOWN(SUM('WK1:WK5'!D30)/MAX(1,INDEX(FREQUENCY('WK1:WK5'!D30,0),2)),0)</f>
        <v>48</v>
      </c>
      <c r="I31" s="16">
        <f t="shared" si="1"/>
        <v>90</v>
      </c>
      <c r="J31" s="17">
        <f>SUM('WK1:WK5'!O30)</f>
        <v>0</v>
      </c>
      <c r="K31" s="46">
        <f>IF(AND((SUM([1]Summary!J31,J31)&gt;0),[1]Summary!I31&gt;0),(I31-(([1]Summary!I31-[1]Summary!J31)-(L31*([1]Summary!I31-[1]Summary!J31))))/(IF(SUM([1]Summary!J31,J31)&gt;0,[1]Summary!J31+J31,0)),0%)</f>
        <v>0</v>
      </c>
      <c r="L31" s="46">
        <f>IF(([1]Summary!I31)&gt;0,(([1]Summary!I31-[1]Summary!J31)-(I31-J31))/(([1]Summary!I31-[1]Summary!J31)),100%)</f>
        <v>-0.23287671232876711</v>
      </c>
      <c r="M31" s="46">
        <f>IF(I31=0,0%,IF((I31-[2]Sheet1!$G27+([2]Sheet1!$J27/12*1))=0, 0%,(I31-[2]Sheet1!$G27+([2]Sheet1!$J27/12*1))/([2]Sheet1!$G27+([2]Sheet1!$J27/12*1))))</f>
        <v>-9.189956852626785E-2</v>
      </c>
      <c r="N31" s="18">
        <f>SUM('WK1:WK5'!M30)</f>
        <v>18690</v>
      </c>
      <c r="O31" s="10">
        <f>(SUM('WK1:WK5'!M30)/MAX(1,INDEX(FREQUENCY('WK1:WK5'!M30,0),2)))/IF(F31+G31&gt;0,F31+G31,"1")</f>
        <v>222.5</v>
      </c>
      <c r="P31" s="46">
        <f>SUM(IF(SUM('WK1:WK5'!J30)&gt;0,SUM('WK1:WK5'!T30)/((SUM('WK1:WK5'!J30)+SUM('WK1:WK5'!K30)+SUM('WK1:WK5'!P30))*0.3),0%),IF(SUM('WK1:WK5'!J30)&gt;0,SUM('WK1:WK5'!U30)/((SUM('WK1:WK5'!J30)+SUM('WK1:WK5'!K30)+SUM('WK1:WK5'!P30))*0.1),0%),IF(SUM('WK1:WK5'!J30)&gt;0,SUM('WK1:WK5'!V30)/((SUM('WK1:WK5'!J30)+SUM('WK1:WK5'!K30)+SUM('WK1:WK5'!P30))*0.3),0%))</f>
        <v>0</v>
      </c>
      <c r="Q31" s="79">
        <f>SUM('WK1:WK5'!Z30)/MAX(1,INDEX(FREQUENCY('WK1:WK5'!Z30,0),2))</f>
        <v>0</v>
      </c>
      <c r="R31" s="78">
        <f>IF(I31&gt;0,SUM('WK1:WK5'!AE30)/MAX(1,INDEX(FREQUENCY('WK1:WK5'!AE30,0),2))/I31,0)</f>
        <v>0</v>
      </c>
      <c r="S31" s="110">
        <f>RANK($J31,(J_Love,J_Maranatha,J_Goodnews,J_Heritage,J_Oyigbo,J_Revival))</f>
        <v>17</v>
      </c>
      <c r="T31" s="110">
        <f>RANK($K31,(K_Love,K_Maranatha,K_Goodnews,K_Heritage,K_Oyigbo,K_Revival))</f>
        <v>17</v>
      </c>
      <c r="U31" s="110">
        <f>RANK($L31,(L_Love,L_Maranatha,L_Goodnews,L_Heritage,L_Oyigbo,L_Revival),1)</f>
        <v>10</v>
      </c>
      <c r="V31" s="110">
        <f>RANK($M31,(M_Love,M_Maranatha,M_Goodnews,M_Heritage,M_Oyigbo,M_Revival))</f>
        <v>25</v>
      </c>
      <c r="W31" s="110">
        <f>RANK($O31,(O_Love,O_Maranatha,O_Goodnews,O_Heritage,O_Oyigbo,O_Revival))</f>
        <v>26</v>
      </c>
      <c r="X31" s="110">
        <f>RANK($P31,(P_Love,P_Maranatha,P_Goodnews,P_Heritage,P_Oyigbo,P_Revival))</f>
        <v>1</v>
      </c>
      <c r="Y31" s="110">
        <f>RANK($Q31,(Q_Love,Q_Maranatha,Q_Goodnews,Q_Heritage,Q_Oyigbo,Q_Revival))</f>
        <v>1</v>
      </c>
      <c r="Z31" s="110">
        <f>RANK($R31,(R_Love,R_Maranatha,R_Goodnews,R_Heritage,R_Oyigbo,R_Revival))</f>
        <v>1</v>
      </c>
      <c r="AA31" s="111">
        <f t="shared" si="0"/>
        <v>98</v>
      </c>
      <c r="AB31" s="112">
        <f>RANK(AA31,(AD_Love,AD_Maranatha,AD_Goodnews,AD_Heritage,AD_Oyigbo,AD_Revival),1)</f>
        <v>23</v>
      </c>
    </row>
    <row r="32" spans="1:28" x14ac:dyDescent="0.2">
      <c r="A32" s="249"/>
      <c r="B32" s="3" t="s">
        <v>86</v>
      </c>
      <c r="C32" s="7">
        <v>8065956392</v>
      </c>
      <c r="D32" s="9" t="s">
        <v>54</v>
      </c>
      <c r="E32" s="9" t="s">
        <v>106</v>
      </c>
      <c r="F32" s="15">
        <f>ROUNDDOWN(SUM('WK1:WK5'!B31)/MAX(1,INDEX(FREQUENCY('WK1:WK5'!B31,0),2)),0)</f>
        <v>7</v>
      </c>
      <c r="G32" s="15">
        <f>ROUNDDOWN(SUM('WK1:WK5'!C31)/MAX(1,INDEX(FREQUENCY('WK1:WK5'!C31,0),2)),0)</f>
        <v>12</v>
      </c>
      <c r="H32" s="15">
        <f>ROUNDDOWN(SUM('WK1:WK5'!D31)/MAX(1,INDEX(FREQUENCY('WK1:WK5'!D31,0),2)),0)</f>
        <v>23</v>
      </c>
      <c r="I32" s="16">
        <f t="shared" si="1"/>
        <v>42</v>
      </c>
      <c r="J32" s="17">
        <f>SUM('WK1:WK5'!O31)</f>
        <v>2</v>
      </c>
      <c r="K32" s="46">
        <f>IF(AND((SUM([1]Summary!J32,J32)&gt;0),[1]Summary!I32&gt;0),(I32-(([1]Summary!I32-[1]Summary!J32)-(L32*([1]Summary!I32-[1]Summary!J32))))/(IF(SUM([1]Summary!J32,J32)&gt;0,[1]Summary!J32+J32,0)),0%)</f>
        <v>0.2857142857142857</v>
      </c>
      <c r="L32" s="46">
        <f>IF(([1]Summary!I32)&gt;0,(([1]Summary!I32-[1]Summary!J32)-(I32-J32))/(([1]Summary!I32-[1]Summary!J32)),100%)</f>
        <v>-5.2631578947368418E-2</v>
      </c>
      <c r="M32" s="46">
        <f>IF(I32=0,0%,IF((I32-[2]Sheet1!$G28+([2]Sheet1!$J28/12*1))=0, 0%,(I32-[2]Sheet1!$G28+([2]Sheet1!$J28/12*1))/([2]Sheet1!$G28+([2]Sheet1!$J28/12*1))))</f>
        <v>-0.51271654994471061</v>
      </c>
      <c r="N32" s="18">
        <f>SUM('WK1:WK5'!M31)</f>
        <v>13550</v>
      </c>
      <c r="O32" s="10">
        <f>(SUM('WK1:WK5'!M31)/MAX(1,INDEX(FREQUENCY('WK1:WK5'!M31,0),2)))/IF(F32+G32&gt;0,F32+G32,"1")</f>
        <v>178.28947368421052</v>
      </c>
      <c r="P32" s="46">
        <f>SUM(IF(SUM('WK1:WK5'!J31)&gt;0,SUM('WK1:WK5'!T31)/((SUM('WK1:WK5'!J31)+SUM('WK1:WK5'!K31)+SUM('WK1:WK5'!P31))*0.3),0%),IF(SUM('WK1:WK5'!J31)&gt;0,SUM('WK1:WK5'!U31)/((SUM('WK1:WK5'!J31)+SUM('WK1:WK5'!K31)+SUM('WK1:WK5'!P31))*0.1),0%),IF(SUM('WK1:WK5'!J31)&gt;0,SUM('WK1:WK5'!V31)/((SUM('WK1:WK5'!J31)+SUM('WK1:WK5'!K31)+SUM('WK1:WK5'!P31))*0.3),0%))</f>
        <v>0</v>
      </c>
      <c r="Q32" s="79">
        <f>SUM('WK1:WK5'!Z31)/MAX(1,INDEX(FREQUENCY('WK1:WK5'!Z31,0),2))</f>
        <v>0</v>
      </c>
      <c r="R32" s="78">
        <f>IF(I32&gt;0,SUM('WK1:WK5'!AE31)/MAX(1,INDEX(FREQUENCY('WK1:WK5'!AE31,0),2))/I32,0)</f>
        <v>0</v>
      </c>
      <c r="S32" s="110">
        <f>RANK($J32,(J_Love,J_Maranatha,J_Goodnews,J_Heritage,J_Oyigbo,J_Revival))</f>
        <v>9</v>
      </c>
      <c r="T32" s="110">
        <f>RANK($K32,(K_Love,K_Maranatha,K_Goodnews,K_Heritage,K_Oyigbo,K_Revival))</f>
        <v>12</v>
      </c>
      <c r="U32" s="110">
        <f>RANK($L32,(L_Love,L_Maranatha,L_Goodnews,L_Heritage,L_Oyigbo,L_Revival),1)</f>
        <v>18</v>
      </c>
      <c r="V32" s="110">
        <f>RANK($M32,(M_Love,M_Maranatha,M_Goodnews,M_Heritage,M_Oyigbo,M_Revival))</f>
        <v>39</v>
      </c>
      <c r="W32" s="110">
        <f>RANK($O32,(O_Love,O_Maranatha,O_Goodnews,O_Heritage,O_Oyigbo,O_Revival))</f>
        <v>28</v>
      </c>
      <c r="X32" s="110">
        <f>RANK($P32,(P_Love,P_Maranatha,P_Goodnews,P_Heritage,P_Oyigbo,P_Revival))</f>
        <v>1</v>
      </c>
      <c r="Y32" s="110">
        <f>RANK($Q32,(Q_Love,Q_Maranatha,Q_Goodnews,Q_Heritage,Q_Oyigbo,Q_Revival))</f>
        <v>1</v>
      </c>
      <c r="Z32" s="110">
        <f>RANK($R32,(R_Love,R_Maranatha,R_Goodnews,R_Heritage,R_Oyigbo,R_Revival))</f>
        <v>1</v>
      </c>
      <c r="AA32" s="111">
        <f t="shared" si="0"/>
        <v>109</v>
      </c>
      <c r="AB32" s="112">
        <f>RANK(AA32,(AD_Love,AD_Maranatha,AD_Goodnews,AD_Heritage,AD_Oyigbo,AD_Revival),1)</f>
        <v>37</v>
      </c>
    </row>
    <row r="33" spans="1:28" x14ac:dyDescent="0.2">
      <c r="A33" s="249"/>
      <c r="B33" s="3" t="s">
        <v>89</v>
      </c>
      <c r="C33" s="7">
        <v>8169526750</v>
      </c>
      <c r="D33" s="9" t="s">
        <v>55</v>
      </c>
      <c r="E33" s="9" t="s">
        <v>25</v>
      </c>
      <c r="F33" s="15">
        <f>ROUNDDOWN(SUM('WK1:WK5'!B32)/MAX(1,INDEX(FREQUENCY('WK1:WK5'!B32,0),2)),0)</f>
        <v>19</v>
      </c>
      <c r="G33" s="15">
        <f>ROUNDDOWN(SUM('WK1:WK5'!C32)/MAX(1,INDEX(FREQUENCY('WK1:WK5'!C32,0),2)),0)</f>
        <v>13</v>
      </c>
      <c r="H33" s="15">
        <f>ROUNDDOWN(SUM('WK1:WK5'!D32)/MAX(1,INDEX(FREQUENCY('WK1:WK5'!D32,0),2)),0)</f>
        <v>37</v>
      </c>
      <c r="I33" s="16">
        <f t="shared" si="1"/>
        <v>69</v>
      </c>
      <c r="J33" s="17">
        <f>SUM('WK1:WK5'!O32)</f>
        <v>0</v>
      </c>
      <c r="K33" s="46">
        <f>IF(AND((SUM([1]Summary!J33,J33)&gt;0),[1]Summary!I33&gt;0),(I33-(([1]Summary!I33-[1]Summary!J33)-(L33*([1]Summary!I33-[1]Summary!J33))))/(IF(SUM([1]Summary!J33,J33)&gt;0,[1]Summary!J33+J33,0)),0%)</f>
        <v>0</v>
      </c>
      <c r="L33" s="46">
        <f>IF(([1]Summary!I33)&gt;0,(([1]Summary!I33-[1]Summary!J33)-(I33-J33))/(([1]Summary!I33-[1]Summary!J33)),100%)</f>
        <v>-0.18965517241379309</v>
      </c>
      <c r="M33" s="46">
        <f>IF(I33=0,0%,IF((I33-[2]Sheet1!$G29+([2]Sheet1!$J29/12*1))=0, 0%,(I33-[2]Sheet1!$G29+([2]Sheet1!$J29/12*1))/([2]Sheet1!$G29+([2]Sheet1!$J29/12*1))))</f>
        <v>-0.10062894548983563</v>
      </c>
      <c r="N33" s="18">
        <f>SUM('WK1:WK5'!M32)</f>
        <v>45140</v>
      </c>
      <c r="O33" s="10">
        <f>(SUM('WK1:WK5'!M32)/MAX(1,INDEX(FREQUENCY('WK1:WK5'!M32,0),2)))/IF(F33+G33&gt;0,F33+G33,"1")</f>
        <v>352.65625</v>
      </c>
      <c r="P33" s="46">
        <f>SUM(IF(SUM('WK1:WK5'!J32)&gt;0,SUM('WK1:WK5'!T32)/((SUM('WK1:WK5'!J32)+SUM('WK1:WK5'!K32)+SUM('WK1:WK5'!P32))*0.3),0%),IF(SUM('WK1:WK5'!J32)&gt;0,SUM('WK1:WK5'!U32)/((SUM('WK1:WK5'!J32)+SUM('WK1:WK5'!K32)+SUM('WK1:WK5'!P32))*0.1),0%),IF(SUM('WK1:WK5'!J32)&gt;0,SUM('WK1:WK5'!V32)/((SUM('WK1:WK5'!J32)+SUM('WK1:WK5'!K32)+SUM('WK1:WK5'!P32))*0.3),0%))</f>
        <v>0</v>
      </c>
      <c r="Q33" s="79">
        <f>SUM('WK1:WK5'!Z32)/MAX(1,INDEX(FREQUENCY('WK1:WK5'!Z32,0),2))</f>
        <v>0</v>
      </c>
      <c r="R33" s="78">
        <f>IF(I33&gt;0,SUM('WK1:WK5'!AE32)/MAX(1,INDEX(FREQUENCY('WK1:WK5'!AE32,0),2))/I33,0)</f>
        <v>0</v>
      </c>
      <c r="S33" s="110">
        <f>RANK($J33,(J_Love,J_Maranatha,J_Goodnews,J_Heritage,J_Oyigbo,J_Revival))</f>
        <v>17</v>
      </c>
      <c r="T33" s="110">
        <f>RANK($K33,(K_Love,K_Maranatha,K_Goodnews,K_Heritage,K_Oyigbo,K_Revival))</f>
        <v>17</v>
      </c>
      <c r="U33" s="110">
        <f>RANK($L33,(L_Love,L_Maranatha,L_Goodnews,L_Heritage,L_Oyigbo,L_Revival),1)</f>
        <v>12</v>
      </c>
      <c r="V33" s="110">
        <f>RANK($M33,(M_Love,M_Maranatha,M_Goodnews,M_Heritage,M_Oyigbo,M_Revival))</f>
        <v>26</v>
      </c>
      <c r="W33" s="110">
        <f>RANK($O33,(O_Love,O_Maranatha,O_Goodnews,O_Heritage,O_Oyigbo,O_Revival))</f>
        <v>14</v>
      </c>
      <c r="X33" s="110">
        <f>RANK($P33,(P_Love,P_Maranatha,P_Goodnews,P_Heritage,P_Oyigbo,P_Revival))</f>
        <v>1</v>
      </c>
      <c r="Y33" s="110">
        <f>RANK($Q33,(Q_Love,Q_Maranatha,Q_Goodnews,Q_Heritage,Q_Oyigbo,Q_Revival))</f>
        <v>1</v>
      </c>
      <c r="Z33" s="110">
        <f>RANK($R33,(R_Love,R_Maranatha,R_Goodnews,R_Heritage,R_Oyigbo,R_Revival))</f>
        <v>1</v>
      </c>
      <c r="AA33" s="111">
        <f t="shared" si="0"/>
        <v>89</v>
      </c>
      <c r="AB33" s="112">
        <f>RANK(AA33,(AD_Love,AD_Maranatha,AD_Goodnews,AD_Heritage,AD_Oyigbo,AD_Revival),1)</f>
        <v>20</v>
      </c>
    </row>
    <row r="34" spans="1:28" x14ac:dyDescent="0.2">
      <c r="A34" s="249"/>
      <c r="B34" s="3" t="s">
        <v>90</v>
      </c>
      <c r="C34" s="7">
        <v>7064855926</v>
      </c>
      <c r="D34" s="9" t="s">
        <v>53</v>
      </c>
      <c r="E34" s="9" t="s">
        <v>26</v>
      </c>
      <c r="F34" s="15">
        <f>ROUNDDOWN(SUM('WK1:WK5'!B33)/MAX(1,INDEX(FREQUENCY('WK1:WK5'!B33,0),2)),0)</f>
        <v>24</v>
      </c>
      <c r="G34" s="15">
        <f>ROUNDDOWN(SUM('WK1:WK5'!C33)/MAX(1,INDEX(FREQUENCY('WK1:WK5'!C33,0),2)),0)</f>
        <v>31</v>
      </c>
      <c r="H34" s="15">
        <f>ROUNDDOWN(SUM('WK1:WK5'!D33)/MAX(1,INDEX(FREQUENCY('WK1:WK5'!D33,0),2)),0)</f>
        <v>28</v>
      </c>
      <c r="I34" s="16">
        <f t="shared" si="1"/>
        <v>83</v>
      </c>
      <c r="J34" s="17">
        <f>SUM('WK1:WK5'!O33)</f>
        <v>10</v>
      </c>
      <c r="K34" s="46">
        <f>IF(AND((SUM([1]Summary!J34,J34)&gt;0),[1]Summary!I34&gt;0),(I34-(([1]Summary!I34-[1]Summary!J34)-(L34*([1]Summary!I34-[1]Summary!J34))))/(IF(SUM([1]Summary!J34,J34)&gt;0,[1]Summary!J34+J34,0)),0%)</f>
        <v>1</v>
      </c>
      <c r="L34" s="46">
        <f>IF(([1]Summary!I34)&gt;0,(([1]Summary!I34-[1]Summary!J34)-(I34-J34))/(([1]Summary!I34-[1]Summary!J34)),100%)</f>
        <v>-4.2857142857142858E-2</v>
      </c>
      <c r="M34" s="46">
        <f>IF(I34=0,0%,IF((I34-[2]Sheet1!$G30+([2]Sheet1!$J30/12*1))=0, 0%,(I34-[2]Sheet1!$G30+([2]Sheet1!$J30/12*1))/([2]Sheet1!$G30+([2]Sheet1!$J30/12*1))))</f>
        <v>4.715976573698652E-2</v>
      </c>
      <c r="N34" s="18">
        <f>SUM('WK1:WK5'!M33)</f>
        <v>62160</v>
      </c>
      <c r="O34" s="10">
        <f>(SUM('WK1:WK5'!M33)/MAX(1,INDEX(FREQUENCY('WK1:WK5'!M33,0),2)))/IF(F34+G34&gt;0,F34+G34,"1")</f>
        <v>282.54545454545456</v>
      </c>
      <c r="P34" s="46">
        <f>SUM(IF(SUM('WK1:WK5'!J33)&gt;0,SUM('WK1:WK5'!T33)/((SUM('WK1:WK5'!J33)+SUM('WK1:WK5'!K33)+SUM('WK1:WK5'!P33))*0.3),0%),IF(SUM('WK1:WK5'!J33)&gt;0,SUM('WK1:WK5'!U33)/((SUM('WK1:WK5'!J33)+SUM('WK1:WK5'!K33)+SUM('WK1:WK5'!P33))*0.1),0%),IF(SUM('WK1:WK5'!J33)&gt;0,SUM('WK1:WK5'!V33)/((SUM('WK1:WK5'!J33)+SUM('WK1:WK5'!K33)+SUM('WK1:WK5'!P33))*0.3),0%))</f>
        <v>0</v>
      </c>
      <c r="Q34" s="79">
        <f>SUM('WK1:WK5'!Z33)/MAX(1,INDEX(FREQUENCY('WK1:WK5'!Z33,0),2))</f>
        <v>0</v>
      </c>
      <c r="R34" s="78">
        <f>IF(I34&gt;0,SUM('WK1:WK5'!AE33)/MAX(1,INDEX(FREQUENCY('WK1:WK5'!AE33,0),2))/I34,0)</f>
        <v>0</v>
      </c>
      <c r="S34" s="110">
        <f>RANK($J34,(J_Love,J_Maranatha,J_Goodnews,J_Heritage,J_Oyigbo,J_Revival))</f>
        <v>3</v>
      </c>
      <c r="T34" s="110">
        <f>RANK($K34,(K_Love,K_Maranatha,K_Goodnews,K_Heritage,K_Oyigbo,K_Revival))</f>
        <v>1</v>
      </c>
      <c r="U34" s="110">
        <f>RANK($L34,(L_Love,L_Maranatha,L_Goodnews,L_Heritage,L_Oyigbo,L_Revival),1)</f>
        <v>19</v>
      </c>
      <c r="V34" s="110">
        <f>RANK($M34,(M_Love,M_Maranatha,M_Goodnews,M_Heritage,M_Oyigbo,M_Revival))</f>
        <v>8</v>
      </c>
      <c r="W34" s="110">
        <f>RANK($O34,(O_Love,O_Maranatha,O_Goodnews,O_Heritage,O_Oyigbo,O_Revival))</f>
        <v>21</v>
      </c>
      <c r="X34" s="110">
        <f>RANK($P34,(P_Love,P_Maranatha,P_Goodnews,P_Heritage,P_Oyigbo,P_Revival))</f>
        <v>1</v>
      </c>
      <c r="Y34" s="110">
        <f>RANK($Q34,(Q_Love,Q_Maranatha,Q_Goodnews,Q_Heritage,Q_Oyigbo,Q_Revival))</f>
        <v>1</v>
      </c>
      <c r="Z34" s="110">
        <f>RANK($R34,(R_Love,R_Maranatha,R_Goodnews,R_Heritage,R_Oyigbo,R_Revival))</f>
        <v>1</v>
      </c>
      <c r="AA34" s="111">
        <f t="shared" si="0"/>
        <v>55</v>
      </c>
      <c r="AB34" s="112">
        <f>RANK(AA34,(AD_Love,AD_Maranatha,AD_Goodnews,AD_Heritage,AD_Oyigbo,AD_Revival),1)</f>
        <v>5</v>
      </c>
    </row>
    <row r="35" spans="1:28" x14ac:dyDescent="0.2">
      <c r="A35" s="249"/>
      <c r="B35" s="3" t="s">
        <v>91</v>
      </c>
      <c r="C35" s="7">
        <v>8038882371</v>
      </c>
      <c r="D35" s="9" t="s">
        <v>57</v>
      </c>
      <c r="E35" s="9" t="s">
        <v>58</v>
      </c>
      <c r="F35" s="15">
        <f>ROUNDDOWN(SUM('WK1:WK5'!B34)/MAX(1,INDEX(FREQUENCY('WK1:WK5'!B34,0),2)),0)</f>
        <v>11</v>
      </c>
      <c r="G35" s="15">
        <f>ROUNDDOWN(SUM('WK1:WK5'!C34)/MAX(1,INDEX(FREQUENCY('WK1:WK5'!C34,0),2)),0)</f>
        <v>12</v>
      </c>
      <c r="H35" s="15">
        <f>ROUNDDOWN(SUM('WK1:WK5'!D34)/MAX(1,INDEX(FREQUENCY('WK1:WK5'!D34,0),2)),0)</f>
        <v>18</v>
      </c>
      <c r="I35" s="16">
        <f t="shared" si="1"/>
        <v>41</v>
      </c>
      <c r="J35" s="17">
        <f>SUM('WK1:WK5'!O34)</f>
        <v>1</v>
      </c>
      <c r="K35" s="46">
        <f>IF(AND((SUM([1]Summary!J35,J35)&gt;0),[1]Summary!I35&gt;0),(I35-(([1]Summary!I35-[1]Summary!J35)-(L35*([1]Summary!I35-[1]Summary!J35))))/(IF(SUM([1]Summary!J35,J35)&gt;0,[1]Summary!J35+J35,0)),0%)</f>
        <v>0.125</v>
      </c>
      <c r="L35" s="46">
        <f>IF(([1]Summary!I35)&gt;0,(([1]Summary!I35-[1]Summary!J35)-(I35-J35))/(([1]Summary!I35-[1]Summary!J35)),100%)</f>
        <v>-0.25</v>
      </c>
      <c r="M35" s="46">
        <f>IF(I35=0,0%,IF((I35-[2]Sheet1!$G31+([2]Sheet1!$J31/12*1))=0, 0%,(I35-[2]Sheet1!$G31+([2]Sheet1!$J31/12*1))/([2]Sheet1!$G31+([2]Sheet1!$J31/12*1))))</f>
        <v>-6.3803907113896052E-2</v>
      </c>
      <c r="N35" s="18">
        <f>SUM('WK1:WK5'!M34)</f>
        <v>35575</v>
      </c>
      <c r="O35" s="10">
        <f>(SUM('WK1:WK5'!M34)/MAX(1,INDEX(FREQUENCY('WK1:WK5'!M34,0),2)))/IF(F35+G35&gt;0,F35+G35,"1")</f>
        <v>386.68478260869563</v>
      </c>
      <c r="P35" s="46">
        <f>SUM(IF(SUM('WK1:WK5'!J34)&gt;0,SUM('WK1:WK5'!T34)/((SUM('WK1:WK5'!J34)+SUM('WK1:WK5'!K34)+SUM('WK1:WK5'!P34))*0.3),0%),IF(SUM('WK1:WK5'!J34)&gt;0,SUM('WK1:WK5'!U34)/((SUM('WK1:WK5'!J34)+SUM('WK1:WK5'!K34)+SUM('WK1:WK5'!P34))*0.1),0%),IF(SUM('WK1:WK5'!J34)&gt;0,SUM('WK1:WK5'!V34)/((SUM('WK1:WK5'!J34)+SUM('WK1:WK5'!K34)+SUM('WK1:WK5'!P34))*0.3),0%))</f>
        <v>0</v>
      </c>
      <c r="Q35" s="79">
        <f>SUM('WK1:WK5'!Z34)/MAX(1,INDEX(FREQUENCY('WK1:WK5'!Z34,0),2))</f>
        <v>0</v>
      </c>
      <c r="R35" s="78">
        <f>IF(I35&gt;0,SUM('WK1:WK5'!AE34)/MAX(1,INDEX(FREQUENCY('WK1:WK5'!AE34,0),2))/I35,0)</f>
        <v>0</v>
      </c>
      <c r="S35" s="110">
        <f>RANK($J35,(J_Love,J_Maranatha,J_Goodnews,J_Heritage,J_Oyigbo,J_Revival))</f>
        <v>13</v>
      </c>
      <c r="T35" s="110">
        <f>RANK($K35,(K_Love,K_Maranatha,K_Goodnews,K_Heritage,K_Oyigbo,K_Revival))</f>
        <v>14</v>
      </c>
      <c r="U35" s="110">
        <f>RANK($L35,(L_Love,L_Maranatha,L_Goodnews,L_Heritage,L_Oyigbo,L_Revival),1)</f>
        <v>9</v>
      </c>
      <c r="V35" s="110">
        <f>RANK($M35,(M_Love,M_Maranatha,M_Goodnews,M_Heritage,M_Oyigbo,M_Revival))</f>
        <v>23</v>
      </c>
      <c r="W35" s="110">
        <f>RANK($O35,(O_Love,O_Maranatha,O_Goodnews,O_Heritage,O_Oyigbo,O_Revival))</f>
        <v>12</v>
      </c>
      <c r="X35" s="110">
        <f>RANK($P35,(P_Love,P_Maranatha,P_Goodnews,P_Heritage,P_Oyigbo,P_Revival))</f>
        <v>1</v>
      </c>
      <c r="Y35" s="110">
        <f>RANK($Q35,(Q_Love,Q_Maranatha,Q_Goodnews,Q_Heritage,Q_Oyigbo,Q_Revival))</f>
        <v>1</v>
      </c>
      <c r="Z35" s="110">
        <f>RANK($R35,(R_Love,R_Maranatha,R_Goodnews,R_Heritage,R_Oyigbo,R_Revival))</f>
        <v>1</v>
      </c>
      <c r="AA35" s="111">
        <f t="shared" si="0"/>
        <v>74</v>
      </c>
      <c r="AB35" s="112">
        <f>RANK(AA35,(AD_Love,AD_Maranatha,AD_Goodnews,AD_Heritage,AD_Oyigbo,AD_Revival),1)</f>
        <v>15</v>
      </c>
    </row>
    <row r="36" spans="1:28" x14ac:dyDescent="0.2">
      <c r="A36" s="249"/>
      <c r="B36" s="3" t="s">
        <v>92</v>
      </c>
      <c r="C36" s="7">
        <v>8055314374</v>
      </c>
      <c r="D36" s="9" t="s">
        <v>59</v>
      </c>
      <c r="E36" s="9" t="s">
        <v>36</v>
      </c>
      <c r="F36" s="15">
        <f>ROUNDDOWN(SUM('WK1:WK5'!B35)/MAX(1,INDEX(FREQUENCY('WK1:WK5'!B35,0),2)),0)</f>
        <v>4</v>
      </c>
      <c r="G36" s="15">
        <f>ROUNDDOWN(SUM('WK1:WK5'!C35)/MAX(1,INDEX(FREQUENCY('WK1:WK5'!C35,0),2)),0)</f>
        <v>6</v>
      </c>
      <c r="H36" s="15">
        <f>ROUNDDOWN(SUM('WK1:WK5'!D35)/MAX(1,INDEX(FREQUENCY('WK1:WK5'!D35,0),2)),0)</f>
        <v>8</v>
      </c>
      <c r="I36" s="16">
        <f t="shared" si="1"/>
        <v>18</v>
      </c>
      <c r="J36" s="17">
        <f>SUM('WK1:WK5'!O35)</f>
        <v>0</v>
      </c>
      <c r="K36" s="46">
        <f>IF(AND((SUM([1]Summary!J36,J36)&gt;0),[1]Summary!I36&gt;0),(I36-(([1]Summary!I36-[1]Summary!J36)-(L36*([1]Summary!I36-[1]Summary!J36))))/(IF(SUM([1]Summary!J36,J36)&gt;0,[1]Summary!J36+J36,0)),0%)</f>
        <v>0</v>
      </c>
      <c r="L36" s="46">
        <f>IF(([1]Summary!I36)&gt;0,(([1]Summary!I36-[1]Summary!J36)-(I36-J36))/(([1]Summary!I36-[1]Summary!J36)),100%)</f>
        <v>-0.5</v>
      </c>
      <c r="M36" s="46">
        <f>IF(I36=0,0%,IF((I36-[2]Sheet1!$G32+([2]Sheet1!$J32/12*1))=0, 0%,(I36-[2]Sheet1!$G32+([2]Sheet1!$J32/12*1))/([2]Sheet1!$G32+([2]Sheet1!$J32/12*1))))</f>
        <v>-0.21107323254859264</v>
      </c>
      <c r="N36" s="18">
        <f>SUM('WK1:WK5'!M35)</f>
        <v>8560</v>
      </c>
      <c r="O36" s="10">
        <f>(SUM('WK1:WK5'!M35)/MAX(1,INDEX(FREQUENCY('WK1:WK5'!M35,0),2)))/IF(F36+G36&gt;0,F36+G36,"1")</f>
        <v>285.33333333333337</v>
      </c>
      <c r="P36" s="46">
        <f>SUM(IF(SUM('WK1:WK5'!J35)&gt;0,SUM('WK1:WK5'!T35)/((SUM('WK1:WK5'!J35)+SUM('WK1:WK5'!K35)+SUM('WK1:WK5'!P35))*0.3),0%),IF(SUM('WK1:WK5'!J35)&gt;0,SUM('WK1:WK5'!U35)/((SUM('WK1:WK5'!J35)+SUM('WK1:WK5'!K35)+SUM('WK1:WK5'!P35))*0.1),0%),IF(SUM('WK1:WK5'!J35)&gt;0,SUM('WK1:WK5'!V35)/((SUM('WK1:WK5'!J35)+SUM('WK1:WK5'!K35)+SUM('WK1:WK5'!P35))*0.3),0%))</f>
        <v>0</v>
      </c>
      <c r="Q36" s="79">
        <f>SUM('WK1:WK5'!Z35)/MAX(1,INDEX(FREQUENCY('WK1:WK5'!Z35,0),2))</f>
        <v>0</v>
      </c>
      <c r="R36" s="78">
        <f>IF(I36&gt;0,SUM('WK1:WK5'!AE35)/MAX(1,INDEX(FREQUENCY('WK1:WK5'!AE35,0),2))/I36,0)</f>
        <v>0</v>
      </c>
      <c r="S36" s="110">
        <f>RANK($J36,(J_Love,J_Maranatha,J_Goodnews,J_Heritage,J_Oyigbo,J_Revival))</f>
        <v>17</v>
      </c>
      <c r="T36" s="110">
        <f>RANK($K36,(K_Love,K_Maranatha,K_Goodnews,K_Heritage,K_Oyigbo,K_Revival))</f>
        <v>17</v>
      </c>
      <c r="U36" s="110">
        <f>RANK($L36,(L_Love,L_Maranatha,L_Goodnews,L_Heritage,L_Oyigbo,L_Revival),1)</f>
        <v>3</v>
      </c>
      <c r="V36" s="110">
        <f>RANK($M36,(M_Love,M_Maranatha,M_Goodnews,M_Heritage,M_Oyigbo,M_Revival))</f>
        <v>33</v>
      </c>
      <c r="W36" s="110">
        <f>RANK($O36,(O_Love,O_Maranatha,O_Goodnews,O_Heritage,O_Oyigbo,O_Revival))</f>
        <v>20</v>
      </c>
      <c r="X36" s="110">
        <f>RANK($P36,(P_Love,P_Maranatha,P_Goodnews,P_Heritage,P_Oyigbo,P_Revival))</f>
        <v>1</v>
      </c>
      <c r="Y36" s="110">
        <f>RANK($Q36,(Q_Love,Q_Maranatha,Q_Goodnews,Q_Heritage,Q_Oyigbo,Q_Revival))</f>
        <v>1</v>
      </c>
      <c r="Z36" s="110">
        <f>RANK($R36,(R_Love,R_Maranatha,R_Goodnews,R_Heritage,R_Oyigbo,R_Revival))</f>
        <v>1</v>
      </c>
      <c r="AA36" s="111">
        <f t="shared" si="0"/>
        <v>93</v>
      </c>
      <c r="AB36" s="112">
        <f>RANK(AA36,(AD_Love,AD_Maranatha,AD_Goodnews,AD_Heritage,AD_Oyigbo,AD_Revival),1)</f>
        <v>22</v>
      </c>
    </row>
    <row r="37" spans="1:28" ht="15" customHeight="1" x14ac:dyDescent="0.2">
      <c r="A37" s="249"/>
      <c r="B37" s="251" t="s">
        <v>110</v>
      </c>
      <c r="C37" s="252"/>
      <c r="D37" s="252"/>
      <c r="E37" s="253"/>
      <c r="F37" s="20">
        <f>SUM(F28:F36)</f>
        <v>140</v>
      </c>
      <c r="G37" s="20">
        <f>SUM(G28:G36)</f>
        <v>191</v>
      </c>
      <c r="H37" s="20">
        <f>SUM(H28:H36)</f>
        <v>265</v>
      </c>
      <c r="I37" s="19">
        <f>SUM(I28:I36)</f>
        <v>596</v>
      </c>
      <c r="J37" s="20">
        <f>SUM(J28:J36)</f>
        <v>35</v>
      </c>
      <c r="K37" s="23">
        <f>IF(SUM(K28:K36)&gt;0,AVERAGEIF(K28:K36,"&lt;&gt;0"),0)</f>
        <v>0.59642857142857142</v>
      </c>
      <c r="L37" s="105">
        <f>IF(SUM(L28:L36)=0,100%,AVERAGEIF(L28:L36,"&lt;&gt;0"))</f>
        <v>-0.163926830980135</v>
      </c>
      <c r="M37" s="105">
        <f>IF(SUM(M28:M36)=0,0%,AVERAGEIF(M28:M36,"&lt;&gt;0"))</f>
        <v>-0.13344082591772652</v>
      </c>
      <c r="N37" s="21">
        <f>SUM(N28:N36)</f>
        <v>344315</v>
      </c>
      <c r="O37" s="122">
        <f>IF(SUM(O28:O36)&gt;0,AVERAGEIF(O28:O36,"&lt;&gt;0"),0)</f>
        <v>278.46177107243557</v>
      </c>
      <c r="P37" s="107">
        <f>IF(SUM(P28:P36)&gt;0,AVERAGEIF(P28:P36,"&lt;&gt;0"),0%)</f>
        <v>0</v>
      </c>
      <c r="Q37" s="106">
        <f>IF(SUM(Q28:Q36)&gt;0,AVERAGEIF(Q28:Q36,"&lt;&gt;0"),0)</f>
        <v>0</v>
      </c>
      <c r="R37" s="108">
        <f>IF(SUM(R28:R36)&gt;0,AVERAGEIF(R28:R36,"&lt;&gt;0"),0)</f>
        <v>0</v>
      </c>
      <c r="S37" s="113">
        <f>RANK($J37,J_Zone)</f>
        <v>1</v>
      </c>
      <c r="T37" s="113">
        <f>RANK($K37,K_Zone)</f>
        <v>2</v>
      </c>
      <c r="U37" s="113">
        <f>RANK($L37,L_Zone)</f>
        <v>4</v>
      </c>
      <c r="V37" s="113">
        <f>RANK($M37,M_Zone)</f>
        <v>5</v>
      </c>
      <c r="W37" s="113">
        <f>RANK($O37,O_Zone)</f>
        <v>6</v>
      </c>
      <c r="X37" s="113">
        <f>RANK($P37,P_Zone)</f>
        <v>1</v>
      </c>
      <c r="Y37" s="113">
        <f>RANK($Q37,Q_Zone)</f>
        <v>1</v>
      </c>
      <c r="Z37" s="113">
        <f>RANK($R37,R_Zone)</f>
        <v>1</v>
      </c>
      <c r="AA37" s="114">
        <f t="shared" si="0"/>
        <v>21</v>
      </c>
      <c r="AB37" s="115">
        <f>RANK(AA37,AD_Zone,1)</f>
        <v>3</v>
      </c>
    </row>
    <row r="38" spans="1:28" x14ac:dyDescent="0.2">
      <c r="A38" s="249" t="s">
        <v>132</v>
      </c>
      <c r="B38" s="3" t="s">
        <v>93</v>
      </c>
      <c r="C38" s="7">
        <v>7032209737</v>
      </c>
      <c r="D38" s="9" t="s">
        <v>138</v>
      </c>
      <c r="E38" s="9" t="s">
        <v>27</v>
      </c>
      <c r="F38" s="15">
        <f>ROUNDDOWN(SUM('WK1:WK5'!B37)/MAX(1,INDEX(FREQUENCY('WK1:WK5'!B37,0),2)),0)</f>
        <v>45</v>
      </c>
      <c r="G38" s="15">
        <f>ROUNDDOWN(SUM('WK1:WK5'!C37)/MAX(1,INDEX(FREQUENCY('WK1:WK5'!C37,0),2)),0)</f>
        <v>80</v>
      </c>
      <c r="H38" s="15">
        <f>ROUNDDOWN(SUM('WK1:WK5'!D37)/MAX(1,INDEX(FREQUENCY('WK1:WK5'!D37,0),2)),0)</f>
        <v>83</v>
      </c>
      <c r="I38" s="16">
        <f>SUM(F38:H38)</f>
        <v>208</v>
      </c>
      <c r="J38" s="17">
        <f>SUM('WK1:WK5'!O37)</f>
        <v>0</v>
      </c>
      <c r="K38" s="46">
        <f>IF(AND((SUM([1]Summary!J38,J38)&gt;0),[1]Summary!I38&gt;0),(I38-(([1]Summary!I38-[1]Summary!J38)-(L38*([1]Summary!I38-[1]Summary!J38))))/(IF(SUM([1]Summary!J38,J38)&gt;0,[1]Summary!J38+J38,0)),0%)</f>
        <v>0</v>
      </c>
      <c r="L38" s="46">
        <f>IF(([1]Summary!I38)&gt;0,(([1]Summary!I38-[1]Summary!J38)-(I38-J38))/(([1]Summary!I38-[1]Summary!J38)),100%)</f>
        <v>0.43324250681198911</v>
      </c>
      <c r="M38" s="46">
        <f>IF(I38=0,0%,IF((I38-[2]Sheet1!$G34+([2]Sheet1!$J34/12*1))=0, 0%,(I38-[2]Sheet1!$G34+([2]Sheet1!$J34/12*1))/([2]Sheet1!$G34+([2]Sheet1!$J34/12*1))))</f>
        <v>-0.46426709417840917</v>
      </c>
      <c r="N38" s="18">
        <f>SUM('WK1:WK5'!M37)</f>
        <v>55140</v>
      </c>
      <c r="O38" s="10">
        <f>(SUM('WK1:WK5'!M37)/MAX(1,INDEX(FREQUENCY('WK1:WK5'!M37,0),2)))/IF(F38+G38&gt;0,F38+G38,"1")</f>
        <v>220.56</v>
      </c>
      <c r="P38" s="46">
        <f>SUM(IF(SUM('WK1:WK5'!J37)&gt;0,SUM('WK1:WK5'!T37)/((SUM('WK1:WK5'!J37)+SUM('WK1:WK5'!K37)+SUM('WK1:WK5'!P37))*0.3),0%),IF(SUM('WK1:WK5'!J37)&gt;0,SUM('WK1:WK5'!U37)/((SUM('WK1:WK5'!J37)+SUM('WK1:WK5'!K37)+SUM('WK1:WK5'!P37))*0.1),0%),IF(SUM('WK1:WK5'!J37)&gt;0,SUM('WK1:WK5'!V37)/((SUM('WK1:WK5'!J37)+SUM('WK1:WK5'!K37)+SUM('WK1:WK5'!P37))*0.3),0%))</f>
        <v>0</v>
      </c>
      <c r="Q38" s="79">
        <f>SUM('WK1:WK5'!Z37)/MAX(1,INDEX(FREQUENCY('WK1:WK5'!Z37,0),2))</f>
        <v>0</v>
      </c>
      <c r="R38" s="78">
        <f>IF(I38&gt;0,SUM('WK1:WK5'!AE37)/MAX(1,INDEX(FREQUENCY('WK1:WK5'!AE37,0),2))/I38,0)</f>
        <v>0</v>
      </c>
      <c r="S38" s="110">
        <f>RANK($J38,(J_Love,J_Maranatha,J_Goodnews,J_Heritage,J_Oyigbo,J_Revival))</f>
        <v>17</v>
      </c>
      <c r="T38" s="110">
        <f>RANK($K38,(K_Love,K_Maranatha,K_Goodnews,K_Heritage,K_Oyigbo,K_Revival))</f>
        <v>17</v>
      </c>
      <c r="U38" s="110">
        <f>RANK($L38,(L_Love,L_Maranatha,L_Goodnews,L_Heritage,L_Oyigbo,L_Revival),1)</f>
        <v>28</v>
      </c>
      <c r="V38" s="110">
        <f>RANK($M38,(M_Love,M_Maranatha,M_Goodnews,M_Heritage,M_Oyigbo,M_Revival))</f>
        <v>38</v>
      </c>
      <c r="W38" s="110">
        <f>RANK($O38,(O_Love,O_Maranatha,O_Goodnews,O_Heritage,O_Oyigbo,O_Revival))</f>
        <v>27</v>
      </c>
      <c r="X38" s="110">
        <f>RANK($P38,(P_Love,P_Maranatha,P_Goodnews,P_Heritage,P_Oyigbo,P_Revival))</f>
        <v>1</v>
      </c>
      <c r="Y38" s="110">
        <f>RANK($Q38,(Q_Love,Q_Maranatha,Q_Goodnews,Q_Heritage,Q_Oyigbo,Q_Revival))</f>
        <v>1</v>
      </c>
      <c r="Z38" s="110">
        <f>RANK($R38,(R_Love,R_Maranatha,R_Goodnews,R_Heritage,R_Oyigbo,R_Revival))</f>
        <v>1</v>
      </c>
      <c r="AA38" s="111">
        <f t="shared" si="0"/>
        <v>130</v>
      </c>
      <c r="AB38" s="112">
        <f>RANK(AA38,(AD_Love,AD_Maranatha,AD_Goodnews,AD_Heritage,AD_Oyigbo,AD_Revival),1)</f>
        <v>39</v>
      </c>
    </row>
    <row r="39" spans="1:28" x14ac:dyDescent="0.2">
      <c r="A39" s="249"/>
      <c r="B39" s="3" t="s">
        <v>94</v>
      </c>
      <c r="C39" s="7">
        <v>8136455529</v>
      </c>
      <c r="D39" s="9" t="s">
        <v>60</v>
      </c>
      <c r="E39" s="9" t="s">
        <v>28</v>
      </c>
      <c r="F39" s="15">
        <f>ROUNDDOWN(SUM('WK1:WK5'!B38)/MAX(1,INDEX(FREQUENCY('WK1:WK5'!B38,0),2)),0)</f>
        <v>4</v>
      </c>
      <c r="G39" s="15">
        <f>ROUNDDOWN(SUM('WK1:WK5'!C38)/MAX(1,INDEX(FREQUENCY('WK1:WK5'!C38,0),2)),0)</f>
        <v>4</v>
      </c>
      <c r="H39" s="15">
        <f>ROUNDDOWN(SUM('WK1:WK5'!D38)/MAX(1,INDEX(FREQUENCY('WK1:WK5'!D38,0),2)),0)</f>
        <v>7</v>
      </c>
      <c r="I39" s="16">
        <f t="shared" ref="I39:I50" si="2">SUM(F39:H39)</f>
        <v>15</v>
      </c>
      <c r="J39" s="17">
        <f>SUM('WK1:WK5'!O38)</f>
        <v>4</v>
      </c>
      <c r="K39" s="46">
        <f>IF(AND((SUM([1]Summary!J39,J39)&gt;0),[1]Summary!I39&gt;0),(I39-(([1]Summary!I39-[1]Summary!J39)-(L39*([1]Summary!I39-[1]Summary!J39))))/(IF(SUM([1]Summary!J39,J39)&gt;0,[1]Summary!J39+J39,0)),0%)</f>
        <v>1</v>
      </c>
      <c r="L39" s="46">
        <f>IF(([1]Summary!I39)&gt;0,(([1]Summary!I39-[1]Summary!J39)-(I39-J39))/(([1]Summary!I39-[1]Summary!J39)),100%)</f>
        <v>8.3333333333333329E-2</v>
      </c>
      <c r="M39" s="46">
        <f>IF(I39=0,0%,IF((I39-[2]Sheet1!$G35+([2]Sheet1!$J35/12*1))=0, 0%,(I39-[2]Sheet1!$G35+([2]Sheet1!$J35/12*1))/([2]Sheet1!$G35+([2]Sheet1!$J35/12*1))))</f>
        <v>0.42113925136693003</v>
      </c>
      <c r="N39" s="18">
        <f>SUM('WK1:WK5'!M38)</f>
        <v>8050</v>
      </c>
      <c r="O39" s="10">
        <f>(SUM('WK1:WK5'!M38)/MAX(1,INDEX(FREQUENCY('WK1:WK5'!M38,0),2)))/IF(F39+G39&gt;0,F39+G39,"1")</f>
        <v>251.5625</v>
      </c>
      <c r="P39" s="46">
        <f>SUM(IF(SUM('WK1:WK5'!J38)&gt;0,SUM('WK1:WK5'!T38)/((SUM('WK1:WK5'!J38)+SUM('WK1:WK5'!K38)+SUM('WK1:WK5'!P38))*0.3),0%),IF(SUM('WK1:WK5'!J38)&gt;0,SUM('WK1:WK5'!U38)/((SUM('WK1:WK5'!J38)+SUM('WK1:WK5'!K38)+SUM('WK1:WK5'!P38))*0.1),0%),IF(SUM('WK1:WK5'!J38)&gt;0,SUM('WK1:WK5'!V38)/((SUM('WK1:WK5'!J38)+SUM('WK1:WK5'!K38)+SUM('WK1:WK5'!P38))*0.3),0%))</f>
        <v>0</v>
      </c>
      <c r="Q39" s="79">
        <f>SUM('WK1:WK5'!Z38)/MAX(1,INDEX(FREQUENCY('WK1:WK5'!Z38,0),2))</f>
        <v>0</v>
      </c>
      <c r="R39" s="78">
        <f>IF(I39&gt;0,SUM('WK1:WK5'!AE38)/MAX(1,INDEX(FREQUENCY('WK1:WK5'!AE38,0),2))/I39,0)</f>
        <v>0</v>
      </c>
      <c r="S39" s="110">
        <f>RANK($J39,(J_Love,J_Maranatha,J_Goodnews,J_Heritage,J_Oyigbo,J_Revival))</f>
        <v>7</v>
      </c>
      <c r="T39" s="110">
        <f>RANK($K39,(K_Love,K_Maranatha,K_Goodnews,K_Heritage,K_Oyigbo,K_Revival))</f>
        <v>1</v>
      </c>
      <c r="U39" s="110">
        <f>RANK($L39,(L_Love,L_Maranatha,L_Goodnews,L_Heritage,L_Oyigbo,L_Revival),1)</f>
        <v>24</v>
      </c>
      <c r="V39" s="110">
        <f>RANK($M39,(M_Love,M_Maranatha,M_Goodnews,M_Heritage,M_Oyigbo,M_Revival))</f>
        <v>1</v>
      </c>
      <c r="W39" s="110">
        <f>RANK($O39,(O_Love,O_Maranatha,O_Goodnews,O_Heritage,O_Oyigbo,O_Revival))</f>
        <v>25</v>
      </c>
      <c r="X39" s="110">
        <f>RANK($P39,(P_Love,P_Maranatha,P_Goodnews,P_Heritage,P_Oyigbo,P_Revival))</f>
        <v>1</v>
      </c>
      <c r="Y39" s="110">
        <f>RANK($Q39,(Q_Love,Q_Maranatha,Q_Goodnews,Q_Heritage,Q_Oyigbo,Q_Revival))</f>
        <v>1</v>
      </c>
      <c r="Z39" s="110">
        <f>RANK($R39,(R_Love,R_Maranatha,R_Goodnews,R_Heritage,R_Oyigbo,R_Revival))</f>
        <v>1</v>
      </c>
      <c r="AA39" s="111">
        <f t="shared" si="0"/>
        <v>61</v>
      </c>
      <c r="AB39" s="112">
        <f>RANK(AA39,(AD_Love,AD_Maranatha,AD_Goodnews,AD_Heritage,AD_Oyigbo,AD_Revival),1)</f>
        <v>7</v>
      </c>
    </row>
    <row r="40" spans="1:28" x14ac:dyDescent="0.2">
      <c r="A40" s="249"/>
      <c r="B40" s="3" t="s">
        <v>95</v>
      </c>
      <c r="C40" s="7">
        <v>8147837756</v>
      </c>
      <c r="D40" s="9" t="s">
        <v>61</v>
      </c>
      <c r="E40" s="9" t="s">
        <v>62</v>
      </c>
      <c r="F40" s="15">
        <f>ROUNDDOWN(SUM('WK1:WK5'!B39)/MAX(1,INDEX(FREQUENCY('WK1:WK5'!B39,0),2)),0)</f>
        <v>0</v>
      </c>
      <c r="G40" s="15">
        <f>ROUNDDOWN(SUM('WK1:WK5'!C39)/MAX(1,INDEX(FREQUENCY('WK1:WK5'!C39,0),2)),0)</f>
        <v>0</v>
      </c>
      <c r="H40" s="15">
        <f>ROUNDDOWN(SUM('WK1:WK5'!D39)/MAX(1,INDEX(FREQUENCY('WK1:WK5'!D39,0),2)),0)</f>
        <v>0</v>
      </c>
      <c r="I40" s="16">
        <f t="shared" si="2"/>
        <v>0</v>
      </c>
      <c r="J40" s="17">
        <f>SUM('WK1:WK5'!O39)</f>
        <v>0</v>
      </c>
      <c r="K40" s="46">
        <f>IF(AND((SUM([1]Summary!J40,J40)&gt;0),[1]Summary!I40&gt;0),(I40-(([1]Summary!I40-[1]Summary!J40)-(L40*([1]Summary!I40-[1]Summary!J40))))/(IF(SUM([1]Summary!J40,J40)&gt;0,[1]Summary!J40+J40,0)),0%)</f>
        <v>0</v>
      </c>
      <c r="L40" s="46">
        <f>IF(([1]Summary!I40)&gt;0,(([1]Summary!I40-[1]Summary!J40)-(I40-J40))/(([1]Summary!I40-[1]Summary!J40)),100%)</f>
        <v>1</v>
      </c>
      <c r="M40" s="46">
        <f>IF(I40=0,0%,IF((I40-[2]Sheet1!$G36+([2]Sheet1!$J36/12*1))=0, 0%,(I40-[2]Sheet1!$G36+([2]Sheet1!$J36/12*1))/([2]Sheet1!$G36+([2]Sheet1!$J36/12*1))))</f>
        <v>0</v>
      </c>
      <c r="N40" s="18">
        <f>SUM('WK1:WK5'!M39)</f>
        <v>0</v>
      </c>
      <c r="O40" s="10">
        <f>(SUM('WK1:WK5'!M39)/MAX(1,INDEX(FREQUENCY('WK1:WK5'!M39,0),2)))/IF(F40+G40&gt;0,F40+G40,"1")</f>
        <v>0</v>
      </c>
      <c r="P40" s="46">
        <f>SUM(IF(SUM('WK1:WK5'!J39)&gt;0,SUM('WK1:WK5'!T39)/((SUM('WK1:WK5'!J39)+SUM('WK1:WK5'!K39)+SUM('WK1:WK5'!P39))*0.3),0%),IF(SUM('WK1:WK5'!J39)&gt;0,SUM('WK1:WK5'!U39)/((SUM('WK1:WK5'!J39)+SUM('WK1:WK5'!K39)+SUM('WK1:WK5'!P39))*0.1),0%),IF(SUM('WK1:WK5'!J39)&gt;0,SUM('WK1:WK5'!V39)/((SUM('WK1:WK5'!J39)+SUM('WK1:WK5'!K39)+SUM('WK1:WK5'!P39))*0.3),0%))</f>
        <v>0</v>
      </c>
      <c r="Q40" s="79">
        <f>SUM('WK1:WK5'!Z39)/MAX(1,INDEX(FREQUENCY('WK1:WK5'!Z39,0),2))</f>
        <v>0</v>
      </c>
      <c r="R40" s="78">
        <f>IF(I40&gt;0,SUM('WK1:WK5'!AE39)/MAX(1,INDEX(FREQUENCY('WK1:WK5'!AE39,0),2))/I40,0)</f>
        <v>0</v>
      </c>
      <c r="S40" s="110">
        <f>RANK($J40,(J_Love,J_Maranatha,J_Goodnews,J_Heritage,J_Oyigbo,J_Revival))</f>
        <v>17</v>
      </c>
      <c r="T40" s="110">
        <f>RANK($K40,(K_Love,K_Maranatha,K_Goodnews,K_Heritage,K_Oyigbo,K_Revival))</f>
        <v>17</v>
      </c>
      <c r="U40" s="110">
        <f>RANK($L40,(L_Love,L_Maranatha,L_Goodnews,L_Heritage,L_Oyigbo,L_Revival),1)</f>
        <v>29</v>
      </c>
      <c r="V40" s="110">
        <f>RANK($M40,(M_Love,M_Maranatha,M_Goodnews,M_Heritage,M_Oyigbo,M_Revival))</f>
        <v>11</v>
      </c>
      <c r="W40" s="110">
        <f>RANK($O40,(O_Love,O_Maranatha,O_Goodnews,O_Heritage,O_Oyigbo,O_Revival))</f>
        <v>29</v>
      </c>
      <c r="X40" s="110">
        <f>RANK($P40,(P_Love,P_Maranatha,P_Goodnews,P_Heritage,P_Oyigbo,P_Revival))</f>
        <v>1</v>
      </c>
      <c r="Y40" s="110">
        <f>RANK($Q40,(Q_Love,Q_Maranatha,Q_Goodnews,Q_Heritage,Q_Oyigbo,Q_Revival))</f>
        <v>1</v>
      </c>
      <c r="Z40" s="110">
        <f>RANK($R40,(R_Love,R_Maranatha,R_Goodnews,R_Heritage,R_Oyigbo,R_Revival))</f>
        <v>1</v>
      </c>
      <c r="AA40" s="111">
        <f t="shared" si="0"/>
        <v>106</v>
      </c>
      <c r="AB40" s="112">
        <f>RANK(AA40,(AD_Love,AD_Maranatha,AD_Goodnews,AD_Heritage,AD_Oyigbo,AD_Revival),1)</f>
        <v>25</v>
      </c>
    </row>
    <row r="41" spans="1:28" x14ac:dyDescent="0.2">
      <c r="A41" s="249"/>
      <c r="B41" s="3" t="s">
        <v>96</v>
      </c>
      <c r="C41" s="7">
        <v>7085508773</v>
      </c>
      <c r="D41" s="9" t="s">
        <v>139</v>
      </c>
      <c r="E41" s="9" t="s">
        <v>29</v>
      </c>
      <c r="F41" s="15">
        <f>ROUNDDOWN(SUM('WK1:WK5'!B40)/MAX(1,INDEX(FREQUENCY('WK1:WK5'!B40,0),2)),0)</f>
        <v>0</v>
      </c>
      <c r="G41" s="15">
        <f>ROUNDDOWN(SUM('WK1:WK5'!C40)/MAX(1,INDEX(FREQUENCY('WK1:WK5'!C40,0),2)),0)</f>
        <v>0</v>
      </c>
      <c r="H41" s="15">
        <f>ROUNDDOWN(SUM('WK1:WK5'!D40)/MAX(1,INDEX(FREQUENCY('WK1:WK5'!D40,0),2)),0)</f>
        <v>0</v>
      </c>
      <c r="I41" s="16">
        <f t="shared" si="2"/>
        <v>0</v>
      </c>
      <c r="J41" s="17">
        <f>SUM('WK1:WK5'!O40)</f>
        <v>0</v>
      </c>
      <c r="K41" s="46">
        <f>IF(AND((SUM([1]Summary!J41,J41)&gt;0),[1]Summary!I41&gt;0),(I41-(([1]Summary!I41-[1]Summary!J41)-(L41*([1]Summary!I41-[1]Summary!J41))))/(IF(SUM([1]Summary!J41,J41)&gt;0,[1]Summary!J41+J41,0)),0%)</f>
        <v>0</v>
      </c>
      <c r="L41" s="46">
        <f>IF(([1]Summary!I41)&gt;0,(([1]Summary!I41-[1]Summary!J41)-(I41-J41))/(([1]Summary!I41-[1]Summary!J41)),100%)</f>
        <v>1</v>
      </c>
      <c r="M41" s="46">
        <f>IF(I41=0,0%,IF((I41-[2]Sheet1!$G37+([2]Sheet1!$J37/12*1))=0, 0%,(I41-[2]Sheet1!$G37+([2]Sheet1!$J37/12*1))/([2]Sheet1!$G37+([2]Sheet1!$J37/12*1))))</f>
        <v>0</v>
      </c>
      <c r="N41" s="18">
        <f>SUM('WK1:WK5'!M40)</f>
        <v>0</v>
      </c>
      <c r="O41" s="10">
        <f>(SUM('WK1:WK5'!M40)/MAX(1,INDEX(FREQUENCY('WK1:WK5'!M40,0),2)))/IF(F41+G41&gt;0,F41+G41,"1")</f>
        <v>0</v>
      </c>
      <c r="P41" s="46">
        <f>SUM(IF(SUM('WK1:WK5'!J40)&gt;0,SUM('WK1:WK5'!T40)/((SUM('WK1:WK5'!J40)+SUM('WK1:WK5'!K40)+SUM('WK1:WK5'!P40))*0.3),0%),IF(SUM('WK1:WK5'!J40)&gt;0,SUM('WK1:WK5'!U40)/((SUM('WK1:WK5'!J40)+SUM('WK1:WK5'!K40)+SUM('WK1:WK5'!P40))*0.1),0%),IF(SUM('WK1:WK5'!J40)&gt;0,SUM('WK1:WK5'!V40)/((SUM('WK1:WK5'!J40)+SUM('WK1:WK5'!K40)+SUM('WK1:WK5'!P40))*0.3),0%))</f>
        <v>0</v>
      </c>
      <c r="Q41" s="79">
        <f>SUM('WK1:WK5'!Z40)/MAX(1,INDEX(FREQUENCY('WK1:WK5'!Z40,0),2))</f>
        <v>0</v>
      </c>
      <c r="R41" s="78">
        <f>IF(I41&gt;0,SUM('WK1:WK5'!AE40)/MAX(1,INDEX(FREQUENCY('WK1:WK5'!AE40,0),2))/I41,0)</f>
        <v>0</v>
      </c>
      <c r="S41" s="110">
        <f>RANK($J41,(J_Love,J_Maranatha,J_Goodnews,J_Heritage,J_Oyigbo,J_Revival))</f>
        <v>17</v>
      </c>
      <c r="T41" s="110">
        <f>RANK($K41,(K_Love,K_Maranatha,K_Goodnews,K_Heritage,K_Oyigbo,K_Revival))</f>
        <v>17</v>
      </c>
      <c r="U41" s="110">
        <f>RANK($L41,(L_Love,L_Maranatha,L_Goodnews,L_Heritage,L_Oyigbo,L_Revival),1)</f>
        <v>29</v>
      </c>
      <c r="V41" s="110">
        <f>RANK($M41,(M_Love,M_Maranatha,M_Goodnews,M_Heritage,M_Oyigbo,M_Revival))</f>
        <v>11</v>
      </c>
      <c r="W41" s="110">
        <f>RANK($O41,(O_Love,O_Maranatha,O_Goodnews,O_Heritage,O_Oyigbo,O_Revival))</f>
        <v>29</v>
      </c>
      <c r="X41" s="110">
        <f>RANK($P41,(P_Love,P_Maranatha,P_Goodnews,P_Heritage,P_Oyigbo,P_Revival))</f>
        <v>1</v>
      </c>
      <c r="Y41" s="110">
        <f>RANK($Q41,(Q_Love,Q_Maranatha,Q_Goodnews,Q_Heritage,Q_Oyigbo,Q_Revival))</f>
        <v>1</v>
      </c>
      <c r="Z41" s="110">
        <f>RANK($R41,(R_Love,R_Maranatha,R_Goodnews,R_Heritage,R_Oyigbo,R_Revival))</f>
        <v>1</v>
      </c>
      <c r="AA41" s="111">
        <f t="shared" si="0"/>
        <v>106</v>
      </c>
      <c r="AB41" s="112">
        <f>RANK(AA41,(AD_Love,AD_Maranatha,AD_Goodnews,AD_Heritage,AD_Oyigbo,AD_Revival),1)</f>
        <v>25</v>
      </c>
    </row>
    <row r="42" spans="1:28" x14ac:dyDescent="0.2">
      <c r="A42" s="249"/>
      <c r="B42" s="3" t="s">
        <v>97</v>
      </c>
      <c r="C42" s="11"/>
      <c r="D42" s="9" t="s">
        <v>140</v>
      </c>
      <c r="E42" s="9" t="s">
        <v>30</v>
      </c>
      <c r="F42" s="15">
        <f>ROUNDDOWN(SUM('WK1:WK5'!B41)/MAX(1,INDEX(FREQUENCY('WK1:WK5'!B41,0),2)),0)</f>
        <v>0</v>
      </c>
      <c r="G42" s="15">
        <f>ROUNDDOWN(SUM('WK1:WK5'!C41)/MAX(1,INDEX(FREQUENCY('WK1:WK5'!C41,0),2)),0)</f>
        <v>0</v>
      </c>
      <c r="H42" s="15">
        <f>ROUNDDOWN(SUM('WK1:WK5'!D41)/MAX(1,INDEX(FREQUENCY('WK1:WK5'!D41,0),2)),0)</f>
        <v>0</v>
      </c>
      <c r="I42" s="16">
        <f t="shared" si="2"/>
        <v>0</v>
      </c>
      <c r="J42" s="17">
        <f>SUM('WK1:WK5'!O41)</f>
        <v>0</v>
      </c>
      <c r="K42" s="46">
        <f>IF(AND((SUM([1]Summary!J42,J42)&gt;0),[1]Summary!I42&gt;0),(I42-(([1]Summary!I42-[1]Summary!J42)-(L42*([1]Summary!I42-[1]Summary!J42))))/(IF(SUM([1]Summary!J42,J42)&gt;0,[1]Summary!J42+J42,0)),0%)</f>
        <v>0</v>
      </c>
      <c r="L42" s="46">
        <f>IF(([1]Summary!I42)&gt;0,(([1]Summary!I42-[1]Summary!J42)-(I42-J42))/(([1]Summary!I42-[1]Summary!J42)),100%)</f>
        <v>1</v>
      </c>
      <c r="M42" s="46">
        <f>IF(I42=0,0%,IF((I42-[2]Sheet1!$G38+([2]Sheet1!$J38/12*1))=0, 0%,(I42-[2]Sheet1!$G38+([2]Sheet1!$J38/12*1))/([2]Sheet1!$G38+([2]Sheet1!$J38/12*1))))</f>
        <v>0</v>
      </c>
      <c r="N42" s="18">
        <f>SUM('WK1:WK5'!M41)</f>
        <v>0</v>
      </c>
      <c r="O42" s="10">
        <f>(SUM('WK1:WK5'!M41)/MAX(1,INDEX(FREQUENCY('WK1:WK5'!M41,0),2)))/IF(F42+G42&gt;0,F42+G42,"1")</f>
        <v>0</v>
      </c>
      <c r="P42" s="46">
        <f>SUM(IF(SUM('WK1:WK5'!J41)&gt;0,SUM('WK1:WK5'!T41)/((SUM('WK1:WK5'!J41)+SUM('WK1:WK5'!K41)+SUM('WK1:WK5'!P41))*0.3),0%),IF(SUM('WK1:WK5'!J41)&gt;0,SUM('WK1:WK5'!U41)/((SUM('WK1:WK5'!J41)+SUM('WK1:WK5'!K41)+SUM('WK1:WK5'!P41))*0.1),0%),IF(SUM('WK1:WK5'!J41)&gt;0,SUM('WK1:WK5'!V41)/((SUM('WK1:WK5'!J41)+SUM('WK1:WK5'!K41)+SUM('WK1:WK5'!P41))*0.3),0%))</f>
        <v>0</v>
      </c>
      <c r="Q42" s="79">
        <f>SUM('WK1:WK5'!Z41)/MAX(1,INDEX(FREQUENCY('WK1:WK5'!Z41,0),2))</f>
        <v>0</v>
      </c>
      <c r="R42" s="78">
        <f>IF(I42&gt;0,SUM('WK1:WK5'!AE41)/MAX(1,INDEX(FREQUENCY('WK1:WK5'!AE41,0),2))/I42,0)</f>
        <v>0</v>
      </c>
      <c r="S42" s="110">
        <f>RANK($J42,(J_Love,J_Maranatha,J_Goodnews,J_Heritage,J_Oyigbo,J_Revival))</f>
        <v>17</v>
      </c>
      <c r="T42" s="110">
        <f>RANK($K42,(K_Love,K_Maranatha,K_Goodnews,K_Heritage,K_Oyigbo,K_Revival))</f>
        <v>17</v>
      </c>
      <c r="U42" s="110">
        <f>RANK($L42,(L_Love,L_Maranatha,L_Goodnews,L_Heritage,L_Oyigbo,L_Revival),1)</f>
        <v>29</v>
      </c>
      <c r="V42" s="110">
        <f>RANK($M42,(M_Love,M_Maranatha,M_Goodnews,M_Heritage,M_Oyigbo,M_Revival))</f>
        <v>11</v>
      </c>
      <c r="W42" s="110">
        <f>RANK($O42,(O_Love,O_Maranatha,O_Goodnews,O_Heritage,O_Oyigbo,O_Revival))</f>
        <v>29</v>
      </c>
      <c r="X42" s="110">
        <f>RANK($P42,(P_Love,P_Maranatha,P_Goodnews,P_Heritage,P_Oyigbo,P_Revival))</f>
        <v>1</v>
      </c>
      <c r="Y42" s="110">
        <f>RANK($Q42,(Q_Love,Q_Maranatha,Q_Goodnews,Q_Heritage,Q_Oyigbo,Q_Revival))</f>
        <v>1</v>
      </c>
      <c r="Z42" s="110">
        <f>RANK($R42,(R_Love,R_Maranatha,R_Goodnews,R_Heritage,R_Oyigbo,R_Revival))</f>
        <v>1</v>
      </c>
      <c r="AA42" s="111">
        <f t="shared" si="0"/>
        <v>106</v>
      </c>
      <c r="AB42" s="112">
        <f>RANK(AA42,(AD_Love,AD_Maranatha,AD_Goodnews,AD_Heritage,AD_Oyigbo,AD_Revival),1)</f>
        <v>25</v>
      </c>
    </row>
    <row r="43" spans="1:28" x14ac:dyDescent="0.2">
      <c r="A43" s="249"/>
      <c r="B43" s="3" t="s">
        <v>98</v>
      </c>
      <c r="C43" s="7">
        <v>8030492350</v>
      </c>
      <c r="D43" s="9" t="s">
        <v>141</v>
      </c>
      <c r="E43" s="9" t="s">
        <v>31</v>
      </c>
      <c r="F43" s="15">
        <f>ROUNDDOWN(SUM('WK1:WK5'!B42)/MAX(1,INDEX(FREQUENCY('WK1:WK5'!B42,0),2)),0)</f>
        <v>0</v>
      </c>
      <c r="G43" s="15">
        <f>ROUNDDOWN(SUM('WK1:WK5'!C42)/MAX(1,INDEX(FREQUENCY('WK1:WK5'!C42,0),2)),0)</f>
        <v>0</v>
      </c>
      <c r="H43" s="15">
        <f>ROUNDDOWN(SUM('WK1:WK5'!D42)/MAX(1,INDEX(FREQUENCY('WK1:WK5'!D42,0),2)),0)</f>
        <v>0</v>
      </c>
      <c r="I43" s="16">
        <f t="shared" si="2"/>
        <v>0</v>
      </c>
      <c r="J43" s="17">
        <f>SUM('WK1:WK5'!O42)</f>
        <v>0</v>
      </c>
      <c r="K43" s="46">
        <f>IF(AND((SUM([1]Summary!J43,J43)&gt;0),[1]Summary!I43&gt;0),(I43-(([1]Summary!I43-[1]Summary!J43)-(L43*([1]Summary!I43-[1]Summary!J43))))/(IF(SUM([1]Summary!J43,J43)&gt;0,[1]Summary!J43+J43,0)),0%)</f>
        <v>0</v>
      </c>
      <c r="L43" s="46">
        <f>IF(([1]Summary!I43)&gt;0,(([1]Summary!I43-[1]Summary!J43)-(I43-J43))/(([1]Summary!I43-[1]Summary!J43)),100%)</f>
        <v>1</v>
      </c>
      <c r="M43" s="46">
        <f>IF(I43=0,0%,IF((I43-[2]Sheet1!$G39+([2]Sheet1!$J39/12*1))=0, 0%,(I43-[2]Sheet1!$G39+([2]Sheet1!$J39/12*1))/([2]Sheet1!$G39+([2]Sheet1!$J39/12*1))))</f>
        <v>0</v>
      </c>
      <c r="N43" s="18">
        <f>SUM('WK1:WK5'!M42)</f>
        <v>0</v>
      </c>
      <c r="O43" s="10">
        <f>(SUM('WK1:WK5'!M42)/MAX(1,INDEX(FREQUENCY('WK1:WK5'!M42,0),2)))/IF(F43+G43&gt;0,F43+G43,"1")</f>
        <v>0</v>
      </c>
      <c r="P43" s="46">
        <f>SUM(IF(SUM('WK1:WK5'!J42)&gt;0,SUM('WK1:WK5'!T42)/((SUM('WK1:WK5'!J42)+SUM('WK1:WK5'!K42)+SUM('WK1:WK5'!P42))*0.3),0%),IF(SUM('WK1:WK5'!J42)&gt;0,SUM('WK1:WK5'!U42)/((SUM('WK1:WK5'!J42)+SUM('WK1:WK5'!K42)+SUM('WK1:WK5'!P42))*0.1),0%),IF(SUM('WK1:WK5'!J42)&gt;0,SUM('WK1:WK5'!V42)/((SUM('WK1:WK5'!J42)+SUM('WK1:WK5'!K42)+SUM('WK1:WK5'!P42))*0.3),0%))</f>
        <v>0</v>
      </c>
      <c r="Q43" s="79">
        <f>SUM('WK1:WK5'!Z42)/MAX(1,INDEX(FREQUENCY('WK1:WK5'!Z42,0),2))</f>
        <v>0</v>
      </c>
      <c r="R43" s="78">
        <f>IF(I43&gt;0,SUM('WK1:WK5'!AE42)/MAX(1,INDEX(FREQUENCY('WK1:WK5'!AE42,0),2))/I43,0)</f>
        <v>0</v>
      </c>
      <c r="S43" s="110">
        <f>RANK($J43,(J_Love,J_Maranatha,J_Goodnews,J_Heritage,J_Oyigbo,J_Revival))</f>
        <v>17</v>
      </c>
      <c r="T43" s="110">
        <f>RANK($K43,(K_Love,K_Maranatha,K_Goodnews,K_Heritage,K_Oyigbo,K_Revival))</f>
        <v>17</v>
      </c>
      <c r="U43" s="110">
        <f>RANK($L43,(L_Love,L_Maranatha,L_Goodnews,L_Heritage,L_Oyigbo,L_Revival),1)</f>
        <v>29</v>
      </c>
      <c r="V43" s="110">
        <f>RANK($M43,(M_Love,M_Maranatha,M_Goodnews,M_Heritage,M_Oyigbo,M_Revival))</f>
        <v>11</v>
      </c>
      <c r="W43" s="110">
        <f>RANK($O43,(O_Love,O_Maranatha,O_Goodnews,O_Heritage,O_Oyigbo,O_Revival))</f>
        <v>29</v>
      </c>
      <c r="X43" s="110">
        <f>RANK($P43,(P_Love,P_Maranatha,P_Goodnews,P_Heritage,P_Oyigbo,P_Revival))</f>
        <v>1</v>
      </c>
      <c r="Y43" s="110">
        <f>RANK($Q43,(Q_Love,Q_Maranatha,Q_Goodnews,Q_Heritage,Q_Oyigbo,Q_Revival))</f>
        <v>1</v>
      </c>
      <c r="Z43" s="110">
        <f>RANK($R43,(R_Love,R_Maranatha,R_Goodnews,R_Heritage,R_Oyigbo,R_Revival))</f>
        <v>1</v>
      </c>
      <c r="AA43" s="111">
        <f t="shared" si="0"/>
        <v>106</v>
      </c>
      <c r="AB43" s="112">
        <f>RANK(AA43,(AD_Love,AD_Maranatha,AD_Goodnews,AD_Heritage,AD_Oyigbo,AD_Revival),1)</f>
        <v>25</v>
      </c>
    </row>
    <row r="44" spans="1:28" x14ac:dyDescent="0.2">
      <c r="A44" s="249"/>
      <c r="B44" s="3" t="s">
        <v>99</v>
      </c>
      <c r="C44" s="7">
        <v>7039767740</v>
      </c>
      <c r="D44" s="9" t="s">
        <v>142</v>
      </c>
      <c r="E44" s="9" t="s">
        <v>44</v>
      </c>
      <c r="F44" s="15">
        <f>ROUNDDOWN(SUM('WK1:WK5'!B43)/MAX(1,INDEX(FREQUENCY('WK1:WK5'!B43,0),2)),0)</f>
        <v>0</v>
      </c>
      <c r="G44" s="15">
        <f>ROUNDDOWN(SUM('WK1:WK5'!C43)/MAX(1,INDEX(FREQUENCY('WK1:WK5'!C43,0),2)),0)</f>
        <v>0</v>
      </c>
      <c r="H44" s="15">
        <f>ROUNDDOWN(SUM('WK1:WK5'!D43)/MAX(1,INDEX(FREQUENCY('WK1:WK5'!D43,0),2)),0)</f>
        <v>0</v>
      </c>
      <c r="I44" s="16">
        <f t="shared" si="2"/>
        <v>0</v>
      </c>
      <c r="J44" s="17">
        <f>SUM('WK1:WK5'!O43)</f>
        <v>0</v>
      </c>
      <c r="K44" s="46">
        <f>IF(AND((SUM([1]Summary!J44,J44)&gt;0),[1]Summary!I44&gt;0),(I44-(([1]Summary!I44-[1]Summary!J44)-(L44*([1]Summary!I44-[1]Summary!J44))))/(IF(SUM([1]Summary!J44,J44)&gt;0,[1]Summary!J44+J44,0)),0%)</f>
        <v>0</v>
      </c>
      <c r="L44" s="46">
        <f>IF(([1]Summary!I44)&gt;0,(([1]Summary!I44-[1]Summary!J44)-(I44-J44))/(([1]Summary!I44-[1]Summary!J44)),100%)</f>
        <v>1</v>
      </c>
      <c r="M44" s="46">
        <f>IF(I44=0,0%,IF((I44-[2]Sheet1!$G40+([2]Sheet1!$J40/12*1))=0, 0%,(I44-[2]Sheet1!$G40+([2]Sheet1!$J40/12*1))/([2]Sheet1!$G40+([2]Sheet1!$J40/12*1))))</f>
        <v>0</v>
      </c>
      <c r="N44" s="18">
        <f>SUM('WK1:WK5'!M43)</f>
        <v>0</v>
      </c>
      <c r="O44" s="10">
        <f>(SUM('WK1:WK5'!M43)/MAX(1,INDEX(FREQUENCY('WK1:WK5'!M43,0),2)))/IF(F44+G44&gt;0,F44+G44,"1")</f>
        <v>0</v>
      </c>
      <c r="P44" s="46">
        <f>SUM(IF(SUM('WK1:WK5'!J43)&gt;0,SUM('WK1:WK5'!T43)/((SUM('WK1:WK5'!J43)+SUM('WK1:WK5'!K43)+SUM('WK1:WK5'!P43))*0.3),0%),IF(SUM('WK1:WK5'!J43)&gt;0,SUM('WK1:WK5'!U43)/((SUM('WK1:WK5'!J43)+SUM('WK1:WK5'!K43)+SUM('WK1:WK5'!P43))*0.1),0%),IF(SUM('WK1:WK5'!J43)&gt;0,SUM('WK1:WK5'!V43)/((SUM('WK1:WK5'!J43)+SUM('WK1:WK5'!K43)+SUM('WK1:WK5'!P43))*0.3),0%))</f>
        <v>0</v>
      </c>
      <c r="Q44" s="79">
        <f>SUM('WK1:WK5'!Z43)/MAX(1,INDEX(FREQUENCY('WK1:WK5'!Z43,0),2))</f>
        <v>0</v>
      </c>
      <c r="R44" s="78">
        <f>IF(I44&gt;0,SUM('WK1:WK5'!AE43)/MAX(1,INDEX(FREQUENCY('WK1:WK5'!AE43,0),2))/I44,0)</f>
        <v>0</v>
      </c>
      <c r="S44" s="110">
        <f>RANK($J44,(J_Love,J_Maranatha,J_Goodnews,J_Heritage,J_Oyigbo,J_Revival))</f>
        <v>17</v>
      </c>
      <c r="T44" s="110">
        <f>RANK($K44,(K_Love,K_Maranatha,K_Goodnews,K_Heritage,K_Oyigbo,K_Revival))</f>
        <v>17</v>
      </c>
      <c r="U44" s="110">
        <f>RANK($L44,(L_Love,L_Maranatha,L_Goodnews,L_Heritage,L_Oyigbo,L_Revival),1)</f>
        <v>29</v>
      </c>
      <c r="V44" s="110">
        <f>RANK($M44,(M_Love,M_Maranatha,M_Goodnews,M_Heritage,M_Oyigbo,M_Revival))</f>
        <v>11</v>
      </c>
      <c r="W44" s="110">
        <f>RANK($O44,(O_Love,O_Maranatha,O_Goodnews,O_Heritage,O_Oyigbo,O_Revival))</f>
        <v>29</v>
      </c>
      <c r="X44" s="110">
        <f>RANK($P44,(P_Love,P_Maranatha,P_Goodnews,P_Heritage,P_Oyigbo,P_Revival))</f>
        <v>1</v>
      </c>
      <c r="Y44" s="110">
        <f>RANK($Q44,(Q_Love,Q_Maranatha,Q_Goodnews,Q_Heritage,Q_Oyigbo,Q_Revival))</f>
        <v>1</v>
      </c>
      <c r="Z44" s="110">
        <f>RANK($R44,(R_Love,R_Maranatha,R_Goodnews,R_Heritage,R_Oyigbo,R_Revival))</f>
        <v>1</v>
      </c>
      <c r="AA44" s="111">
        <f t="shared" si="0"/>
        <v>106</v>
      </c>
      <c r="AB44" s="112">
        <f>RANK(AA44,(AD_Love,AD_Maranatha,AD_Goodnews,AD_Heritage,AD_Oyigbo,AD_Revival),1)</f>
        <v>25</v>
      </c>
    </row>
    <row r="45" spans="1:28" x14ac:dyDescent="0.2">
      <c r="A45" s="249"/>
      <c r="B45" s="3" t="s">
        <v>100</v>
      </c>
      <c r="C45" s="7">
        <v>8132642176</v>
      </c>
      <c r="D45" s="9" t="s">
        <v>143</v>
      </c>
      <c r="E45" s="9" t="s">
        <v>32</v>
      </c>
      <c r="F45" s="15">
        <f>ROUNDDOWN(SUM('WK1:WK5'!B44)/MAX(1,INDEX(FREQUENCY('WK1:WK5'!B44,0),2)),0)</f>
        <v>6</v>
      </c>
      <c r="G45" s="15">
        <f>ROUNDDOWN(SUM('WK1:WK5'!C44)/MAX(1,INDEX(FREQUENCY('WK1:WK5'!C44,0),2)),0)</f>
        <v>0</v>
      </c>
      <c r="H45" s="15">
        <f>ROUNDDOWN(SUM('WK1:WK5'!D44)/MAX(1,INDEX(FREQUENCY('WK1:WK5'!D44,0),2)),0)</f>
        <v>6</v>
      </c>
      <c r="I45" s="16">
        <f t="shared" si="2"/>
        <v>12</v>
      </c>
      <c r="J45" s="17">
        <f>SUM('WK1:WK5'!O44)</f>
        <v>0</v>
      </c>
      <c r="K45" s="46">
        <f>IF(AND((SUM([1]Summary!J45,J45)&gt;0),[1]Summary!I45&gt;0),(I45-(([1]Summary!I45-[1]Summary!J45)-(L45*([1]Summary!I45-[1]Summary!J45))))/(IF(SUM([1]Summary!J45,J45)&gt;0,[1]Summary!J45+J45,0)),0%)</f>
        <v>0</v>
      </c>
      <c r="L45" s="46">
        <f>IF(([1]Summary!I45)&gt;0,(([1]Summary!I45-[1]Summary!J45)-(I45-J45))/(([1]Summary!I45-[1]Summary!J45)),100%)</f>
        <v>7.6923076923076927E-2</v>
      </c>
      <c r="M45" s="46">
        <f>IF(I45=0,0%,IF((I45-[2]Sheet1!$G41+([2]Sheet1!$J41/12*1))=0, 0%,(I45-[2]Sheet1!$G41+([2]Sheet1!$J41/12*1))/([2]Sheet1!$G41+([2]Sheet1!$J41/12*1))))</f>
        <v>0.15492957746478875</v>
      </c>
      <c r="N45" s="18">
        <f>SUM('WK1:WK5'!M44)</f>
        <v>6300</v>
      </c>
      <c r="O45" s="10">
        <f>(SUM('WK1:WK5'!M44)/MAX(1,INDEX(FREQUENCY('WK1:WK5'!M44,0),2)))/IF(F45+G45&gt;0,F45+G45,"1")</f>
        <v>525</v>
      </c>
      <c r="P45" s="46">
        <f>SUM(IF(SUM('WK1:WK5'!J44)&gt;0,SUM('WK1:WK5'!T44)/((SUM('WK1:WK5'!J44)+SUM('WK1:WK5'!K44)+SUM('WK1:WK5'!P44))*0.3),0%),IF(SUM('WK1:WK5'!J44)&gt;0,SUM('WK1:WK5'!U44)/((SUM('WK1:WK5'!J44)+SUM('WK1:WK5'!K44)+SUM('WK1:WK5'!P44))*0.1),0%),IF(SUM('WK1:WK5'!J44)&gt;0,SUM('WK1:WK5'!V44)/((SUM('WK1:WK5'!J44)+SUM('WK1:WK5'!K44)+SUM('WK1:WK5'!P44))*0.3),0%))</f>
        <v>0</v>
      </c>
      <c r="Q45" s="79">
        <f>SUM('WK1:WK5'!Z44)/MAX(1,INDEX(FREQUENCY('WK1:WK5'!Z44,0),2))</f>
        <v>0</v>
      </c>
      <c r="R45" s="78">
        <f>IF(I45&gt;0,SUM('WK1:WK5'!AE44)/MAX(1,INDEX(FREQUENCY('WK1:WK5'!AE44,0),2))/I45,0)</f>
        <v>0</v>
      </c>
      <c r="S45" s="110">
        <f>RANK($J45,(J_Love,J_Maranatha,J_Goodnews,J_Heritage,J_Oyigbo,J_Revival))</f>
        <v>17</v>
      </c>
      <c r="T45" s="110">
        <f>RANK($K45,(K_Love,K_Maranatha,K_Goodnews,K_Heritage,K_Oyigbo,K_Revival))</f>
        <v>17</v>
      </c>
      <c r="U45" s="110">
        <f>RANK($L45,(L_Love,L_Maranatha,L_Goodnews,L_Heritage,L_Oyigbo,L_Revival),1)</f>
        <v>23</v>
      </c>
      <c r="V45" s="110">
        <f>RANK($M45,(M_Love,M_Maranatha,M_Goodnews,M_Heritage,M_Oyigbo,M_Revival))</f>
        <v>5</v>
      </c>
      <c r="W45" s="110">
        <f>RANK($O45,(O_Love,O_Maranatha,O_Goodnews,O_Heritage,O_Oyigbo,O_Revival))</f>
        <v>7</v>
      </c>
      <c r="X45" s="110">
        <f>RANK($P45,(P_Love,P_Maranatha,P_Goodnews,P_Heritage,P_Oyigbo,P_Revival))</f>
        <v>1</v>
      </c>
      <c r="Y45" s="110">
        <f>RANK($Q45,(Q_Love,Q_Maranatha,Q_Goodnews,Q_Heritage,Q_Oyigbo,Q_Revival))</f>
        <v>1</v>
      </c>
      <c r="Z45" s="110">
        <f>RANK($R45,(R_Love,R_Maranatha,R_Goodnews,R_Heritage,R_Oyigbo,R_Revival))</f>
        <v>1</v>
      </c>
      <c r="AA45" s="111">
        <f t="shared" si="0"/>
        <v>72</v>
      </c>
      <c r="AB45" s="112">
        <f>RANK(AA45,(AD_Love,AD_Maranatha,AD_Goodnews,AD_Heritage,AD_Oyigbo,AD_Revival),1)</f>
        <v>13</v>
      </c>
    </row>
    <row r="46" spans="1:28" x14ac:dyDescent="0.2">
      <c r="A46" s="249"/>
      <c r="B46" s="3" t="s">
        <v>101</v>
      </c>
      <c r="C46" s="7"/>
      <c r="D46" s="9" t="s">
        <v>144</v>
      </c>
      <c r="E46" s="9" t="s">
        <v>105</v>
      </c>
      <c r="F46" s="15">
        <f>ROUNDDOWN(SUM('WK1:WK5'!B45)/MAX(1,INDEX(FREQUENCY('WK1:WK5'!B45,0),2)),0)</f>
        <v>0</v>
      </c>
      <c r="G46" s="15">
        <f>ROUNDDOWN(SUM('WK1:WK5'!C45)/MAX(1,INDEX(FREQUENCY('WK1:WK5'!C45,0),2)),0)</f>
        <v>0</v>
      </c>
      <c r="H46" s="15">
        <f>ROUNDDOWN(SUM('WK1:WK5'!D45)/MAX(1,INDEX(FREQUENCY('WK1:WK5'!D45,0),2)),0)</f>
        <v>0</v>
      </c>
      <c r="I46" s="16">
        <f t="shared" si="2"/>
        <v>0</v>
      </c>
      <c r="J46" s="17">
        <f>SUM('WK1:WK5'!O45)</f>
        <v>0</v>
      </c>
      <c r="K46" s="46">
        <f>IF(AND((SUM([1]Summary!J46,J46)&gt;0),[1]Summary!I46&gt;0),(I46-(([1]Summary!I46-[1]Summary!J46)-(L46*([1]Summary!I46-[1]Summary!J46))))/(IF(SUM([1]Summary!J46,J46)&gt;0,[1]Summary!J46+J46,0)),0%)</f>
        <v>0</v>
      </c>
      <c r="L46" s="46">
        <f>IF(([1]Summary!I46)&gt;0,(([1]Summary!I46-[1]Summary!J46)-(I46-J46))/(([1]Summary!I46-[1]Summary!J46)),100%)</f>
        <v>1</v>
      </c>
      <c r="M46" s="46">
        <f>IF(I46=0,0%,IF((I46-[2]Sheet1!$G42+([2]Sheet1!$J42/12*1))=0, 0%,(I46-[2]Sheet1!$G42+([2]Sheet1!$J42/12*1))/([2]Sheet1!$G42+([2]Sheet1!$J42/12*1))))</f>
        <v>0</v>
      </c>
      <c r="N46" s="18">
        <f>SUM('WK1:WK5'!M45)</f>
        <v>0</v>
      </c>
      <c r="O46" s="10">
        <f>(SUM('WK1:WK5'!M45)/MAX(1,INDEX(FREQUENCY('WK1:WK5'!M45,0),2)))/IF(F46+G46&gt;0,F46+G46,"1")</f>
        <v>0</v>
      </c>
      <c r="P46" s="46">
        <f>SUM(IF(SUM('WK1:WK5'!J45)&gt;0,SUM('WK1:WK5'!T45)/((SUM('WK1:WK5'!J45)+SUM('WK1:WK5'!K45)+SUM('WK1:WK5'!P45))*0.3),0%),IF(SUM('WK1:WK5'!J45)&gt;0,SUM('WK1:WK5'!U45)/((SUM('WK1:WK5'!J45)+SUM('WK1:WK5'!K45)+SUM('WK1:WK5'!P45))*0.1),0%),IF(SUM('WK1:WK5'!J45)&gt;0,SUM('WK1:WK5'!V45)/((SUM('WK1:WK5'!J45)+SUM('WK1:WK5'!K45)+SUM('WK1:WK5'!P45))*0.3),0%))</f>
        <v>0</v>
      </c>
      <c r="Q46" s="79">
        <f>SUM('WK1:WK5'!Z45)/MAX(1,INDEX(FREQUENCY('WK1:WK5'!Z45,0),2))</f>
        <v>0</v>
      </c>
      <c r="R46" s="78">
        <f>IF(I46&gt;0,SUM('WK1:WK5'!AE45)/MAX(1,INDEX(FREQUENCY('WK1:WK5'!AE45,0),2))/I46,0)</f>
        <v>0</v>
      </c>
      <c r="S46" s="110">
        <f>RANK($J46,(J_Love,J_Maranatha,J_Goodnews,J_Heritage,J_Oyigbo,J_Revival))</f>
        <v>17</v>
      </c>
      <c r="T46" s="110">
        <f>RANK($K46,(K_Love,K_Maranatha,K_Goodnews,K_Heritage,K_Oyigbo,K_Revival))</f>
        <v>17</v>
      </c>
      <c r="U46" s="110">
        <f>RANK($L46,(L_Love,L_Maranatha,L_Goodnews,L_Heritage,L_Oyigbo,L_Revival),1)</f>
        <v>29</v>
      </c>
      <c r="V46" s="110">
        <f>RANK($M46,(M_Love,M_Maranatha,M_Goodnews,M_Heritage,M_Oyigbo,M_Revival))</f>
        <v>11</v>
      </c>
      <c r="W46" s="110">
        <f>RANK($O46,(O_Love,O_Maranatha,O_Goodnews,O_Heritage,O_Oyigbo,O_Revival))</f>
        <v>29</v>
      </c>
      <c r="X46" s="110">
        <f>RANK($P46,(P_Love,P_Maranatha,P_Goodnews,P_Heritage,P_Oyigbo,P_Revival))</f>
        <v>1</v>
      </c>
      <c r="Y46" s="110">
        <f>RANK($Q46,(Q_Love,Q_Maranatha,Q_Goodnews,Q_Heritage,Q_Oyigbo,Q_Revival))</f>
        <v>1</v>
      </c>
      <c r="Z46" s="110">
        <f>RANK($R46,(R_Love,R_Maranatha,R_Goodnews,R_Heritage,R_Oyigbo,R_Revival))</f>
        <v>1</v>
      </c>
      <c r="AA46" s="111">
        <f t="shared" si="0"/>
        <v>106</v>
      </c>
      <c r="AB46" s="112">
        <f>RANK(AA46,(AD_Love,AD_Maranatha,AD_Goodnews,AD_Heritage,AD_Oyigbo,AD_Revival),1)</f>
        <v>25</v>
      </c>
    </row>
    <row r="47" spans="1:28" x14ac:dyDescent="0.2">
      <c r="A47" s="249"/>
      <c r="B47" s="3" t="s">
        <v>102</v>
      </c>
      <c r="C47" s="7">
        <v>8136407150</v>
      </c>
      <c r="D47" s="9" t="s">
        <v>145</v>
      </c>
      <c r="E47" s="9" t="s">
        <v>33</v>
      </c>
      <c r="F47" s="15">
        <f>ROUNDDOWN(SUM('WK1:WK5'!B46)/MAX(1,INDEX(FREQUENCY('WK1:WK5'!B46,0),2)),0)</f>
        <v>0</v>
      </c>
      <c r="G47" s="15">
        <f>ROUNDDOWN(SUM('WK1:WK5'!C46)/MAX(1,INDEX(FREQUENCY('WK1:WK5'!C46,0),2)),0)</f>
        <v>0</v>
      </c>
      <c r="H47" s="15">
        <f>ROUNDDOWN(SUM('WK1:WK5'!D46)/MAX(1,INDEX(FREQUENCY('WK1:WK5'!D46,0),2)),0)</f>
        <v>0</v>
      </c>
      <c r="I47" s="16">
        <f t="shared" si="2"/>
        <v>0</v>
      </c>
      <c r="J47" s="17">
        <f>SUM('WK1:WK5'!O46)</f>
        <v>0</v>
      </c>
      <c r="K47" s="46">
        <f>IF(AND((SUM([1]Summary!J47,J47)&gt;0),[1]Summary!I47&gt;0),(I47-(([1]Summary!I47-[1]Summary!J47)-(L47*([1]Summary!I47-[1]Summary!J47))))/(IF(SUM([1]Summary!J47,J47)&gt;0,[1]Summary!J47+J47,0)),0%)</f>
        <v>0</v>
      </c>
      <c r="L47" s="46">
        <f>IF(([1]Summary!I47)&gt;0,(([1]Summary!I47-[1]Summary!J47)-(I47-J47))/(([1]Summary!I47-[1]Summary!J47)),100%)</f>
        <v>1</v>
      </c>
      <c r="M47" s="46">
        <f>IF(I47=0,0%,IF((I47-[2]Sheet1!$G43+([2]Sheet1!$J43/12*1))=0, 0%,(I47-[2]Sheet1!$G43+([2]Sheet1!$J43/12*1))/([2]Sheet1!$G43+([2]Sheet1!$J43/12*1))))</f>
        <v>0</v>
      </c>
      <c r="N47" s="18">
        <f>SUM('WK1:WK5'!M46)</f>
        <v>0</v>
      </c>
      <c r="O47" s="10">
        <f>(SUM('WK1:WK5'!M46)/MAX(1,INDEX(FREQUENCY('WK1:WK5'!M46,0),2)))/IF(F47+G47&gt;0,F47+G47,"1")</f>
        <v>0</v>
      </c>
      <c r="P47" s="46">
        <f>SUM(IF(SUM('WK1:WK5'!J46)&gt;0,SUM('WK1:WK5'!T46)/((SUM('WK1:WK5'!J46)+SUM('WK1:WK5'!K46)+SUM('WK1:WK5'!P46))*0.3),0%),IF(SUM('WK1:WK5'!J46)&gt;0,SUM('WK1:WK5'!U46)/((SUM('WK1:WK5'!J46)+SUM('WK1:WK5'!K46)+SUM('WK1:WK5'!P46))*0.1),0%),IF(SUM('WK1:WK5'!J46)&gt;0,SUM('WK1:WK5'!V46)/((SUM('WK1:WK5'!J46)+SUM('WK1:WK5'!K46)+SUM('WK1:WK5'!P46))*0.3),0%))</f>
        <v>0</v>
      </c>
      <c r="Q47" s="79">
        <f>SUM('WK1:WK5'!Z46)/MAX(1,INDEX(FREQUENCY('WK1:WK5'!Z46,0),2))</f>
        <v>0</v>
      </c>
      <c r="R47" s="78">
        <f>IF(I47&gt;0,SUM('WK1:WK5'!AE46)/MAX(1,INDEX(FREQUENCY('WK1:WK5'!AE46,0),2))/I47,0)</f>
        <v>0</v>
      </c>
      <c r="S47" s="110">
        <f>RANK($J47,(J_Love,J_Maranatha,J_Goodnews,J_Heritage,J_Oyigbo,J_Revival))</f>
        <v>17</v>
      </c>
      <c r="T47" s="110">
        <f>RANK($K47,(K_Love,K_Maranatha,K_Goodnews,K_Heritage,K_Oyigbo,K_Revival))</f>
        <v>17</v>
      </c>
      <c r="U47" s="110">
        <f>RANK($L47,(L_Love,L_Maranatha,L_Goodnews,L_Heritage,L_Oyigbo,L_Revival),1)</f>
        <v>29</v>
      </c>
      <c r="V47" s="110">
        <f>RANK($M47,(M_Love,M_Maranatha,M_Goodnews,M_Heritage,M_Oyigbo,M_Revival))</f>
        <v>11</v>
      </c>
      <c r="W47" s="110">
        <f>RANK($O47,(O_Love,O_Maranatha,O_Goodnews,O_Heritage,O_Oyigbo,O_Revival))</f>
        <v>29</v>
      </c>
      <c r="X47" s="110">
        <f>RANK($P47,(P_Love,P_Maranatha,P_Goodnews,P_Heritage,P_Oyigbo,P_Revival))</f>
        <v>1</v>
      </c>
      <c r="Y47" s="110">
        <f>RANK($Q47,(Q_Love,Q_Maranatha,Q_Goodnews,Q_Heritage,Q_Oyigbo,Q_Revival))</f>
        <v>1</v>
      </c>
      <c r="Z47" s="110">
        <f>RANK($R47,(R_Love,R_Maranatha,R_Goodnews,R_Heritage,R_Oyigbo,R_Revival))</f>
        <v>1</v>
      </c>
      <c r="AA47" s="111">
        <f t="shared" si="0"/>
        <v>106</v>
      </c>
      <c r="AB47" s="112">
        <f>RANK(AA47,(AD_Love,AD_Maranatha,AD_Goodnews,AD_Heritage,AD_Oyigbo,AD_Revival),1)</f>
        <v>25</v>
      </c>
    </row>
    <row r="48" spans="1:28" x14ac:dyDescent="0.2">
      <c r="A48" s="249"/>
      <c r="B48" s="3" t="s">
        <v>103</v>
      </c>
      <c r="C48" s="7">
        <v>8069608825</v>
      </c>
      <c r="D48" s="9" t="s">
        <v>146</v>
      </c>
      <c r="E48" s="9" t="s">
        <v>34</v>
      </c>
      <c r="F48" s="15">
        <f>ROUNDDOWN(SUM('WK1:WK5'!B47)/MAX(1,INDEX(FREQUENCY('WK1:WK5'!B47,0),2)),0)</f>
        <v>0</v>
      </c>
      <c r="G48" s="15">
        <f>ROUNDDOWN(SUM('WK1:WK5'!C47)/MAX(1,INDEX(FREQUENCY('WK1:WK5'!C47,0),2)),0)</f>
        <v>0</v>
      </c>
      <c r="H48" s="15">
        <f>ROUNDDOWN(SUM('WK1:WK5'!D47)/MAX(1,INDEX(FREQUENCY('WK1:WK5'!D47,0),2)),0)</f>
        <v>0</v>
      </c>
      <c r="I48" s="16">
        <f t="shared" si="2"/>
        <v>0</v>
      </c>
      <c r="J48" s="17">
        <f>SUM('WK1:WK5'!O47)</f>
        <v>0</v>
      </c>
      <c r="K48" s="46">
        <f>IF(AND((SUM([1]Summary!J48,J48)&gt;0),[1]Summary!I48&gt;0),(I48-(([1]Summary!I48-[1]Summary!J48)-(L48*([1]Summary!I48-[1]Summary!J48))))/(IF(SUM([1]Summary!J48,J48)&gt;0,[1]Summary!J48+J48,0)),0%)</f>
        <v>0</v>
      </c>
      <c r="L48" s="46">
        <f>IF(([1]Summary!I48)&gt;0,(([1]Summary!I48-[1]Summary!J48)-(I48-J48))/(([1]Summary!I48-[1]Summary!J48)),100%)</f>
        <v>1</v>
      </c>
      <c r="M48" s="46">
        <f>IF(I48=0,0%,IF((I48-[2]Sheet1!$G44+([2]Sheet1!$J44/12*1))=0, 0%,(I48-[2]Sheet1!$G44+([2]Sheet1!$J44/12*1))/([2]Sheet1!$G44+([2]Sheet1!$J44/12*1))))</f>
        <v>0</v>
      </c>
      <c r="N48" s="18">
        <f>SUM('WK1:WK5'!M47)</f>
        <v>0</v>
      </c>
      <c r="O48" s="10">
        <f>(SUM('WK1:WK5'!M47)/MAX(1,INDEX(FREQUENCY('WK1:WK5'!M47,0),2)))/IF(F48+G48&gt;0,F48+G48,"1")</f>
        <v>0</v>
      </c>
      <c r="P48" s="46">
        <f>SUM(IF(SUM('WK1:WK5'!J47)&gt;0,SUM('WK1:WK5'!T47)/((SUM('WK1:WK5'!J47)+SUM('WK1:WK5'!K47)+SUM('WK1:WK5'!P47))*0.3),0%),IF(SUM('WK1:WK5'!J47)&gt;0,SUM('WK1:WK5'!U47)/((SUM('WK1:WK5'!J47)+SUM('WK1:WK5'!K47)+SUM('WK1:WK5'!P47))*0.1),0%),IF(SUM('WK1:WK5'!J47)&gt;0,SUM('WK1:WK5'!V47)/((SUM('WK1:WK5'!J47)+SUM('WK1:WK5'!K47)+SUM('WK1:WK5'!P47))*0.3),0%))</f>
        <v>0</v>
      </c>
      <c r="Q48" s="79">
        <f>SUM('WK1:WK5'!Z47)/MAX(1,INDEX(FREQUENCY('WK1:WK5'!Z47,0),2))</f>
        <v>0</v>
      </c>
      <c r="R48" s="78">
        <f>IF(I48&gt;0,SUM('WK1:WK5'!AE47)/MAX(1,INDEX(FREQUENCY('WK1:WK5'!AE47,0),2))/I48,0)</f>
        <v>0</v>
      </c>
      <c r="S48" s="110">
        <f>RANK($J48,(J_Love,J_Maranatha,J_Goodnews,J_Heritage,J_Oyigbo,J_Revival))</f>
        <v>17</v>
      </c>
      <c r="T48" s="110">
        <f>RANK($K48,(K_Love,K_Maranatha,K_Goodnews,K_Heritage,K_Oyigbo,K_Revival))</f>
        <v>17</v>
      </c>
      <c r="U48" s="110">
        <f>RANK($L48,(L_Love,L_Maranatha,L_Goodnews,L_Heritage,L_Oyigbo,L_Revival),1)</f>
        <v>29</v>
      </c>
      <c r="V48" s="110">
        <f>RANK($M48,(M_Love,M_Maranatha,M_Goodnews,M_Heritage,M_Oyigbo,M_Revival))</f>
        <v>11</v>
      </c>
      <c r="W48" s="110">
        <f>RANK($O48,(O_Love,O_Maranatha,O_Goodnews,O_Heritage,O_Oyigbo,O_Revival))</f>
        <v>29</v>
      </c>
      <c r="X48" s="110">
        <f>RANK($P48,(P_Love,P_Maranatha,P_Goodnews,P_Heritage,P_Oyigbo,P_Revival))</f>
        <v>1</v>
      </c>
      <c r="Y48" s="110">
        <f>RANK($Q48,(Q_Love,Q_Maranatha,Q_Goodnews,Q_Heritage,Q_Oyigbo,Q_Revival))</f>
        <v>1</v>
      </c>
      <c r="Z48" s="110">
        <f>RANK($R48,(R_Love,R_Maranatha,R_Goodnews,R_Heritage,R_Oyigbo,R_Revival))</f>
        <v>1</v>
      </c>
      <c r="AA48" s="111">
        <f t="shared" si="0"/>
        <v>106</v>
      </c>
      <c r="AB48" s="112">
        <f>RANK(AA48,(AD_Love,AD_Maranatha,AD_Goodnews,AD_Heritage,AD_Oyigbo,AD_Revival),1)</f>
        <v>25</v>
      </c>
    </row>
    <row r="49" spans="1:28" x14ac:dyDescent="0.2">
      <c r="A49" s="249"/>
      <c r="B49" s="3" t="s">
        <v>104</v>
      </c>
      <c r="C49" s="7">
        <v>8067903179</v>
      </c>
      <c r="D49" s="9" t="s">
        <v>147</v>
      </c>
      <c r="E49" s="9" t="s">
        <v>35</v>
      </c>
      <c r="F49" s="15">
        <f>ROUNDDOWN(SUM('WK1:WK5'!B48)/MAX(1,INDEX(FREQUENCY('WK1:WK5'!B48,0),2)),0)</f>
        <v>0</v>
      </c>
      <c r="G49" s="15">
        <f>ROUNDDOWN(SUM('WK1:WK5'!C48)/MAX(1,INDEX(FREQUENCY('WK1:WK5'!C48,0),2)),0)</f>
        <v>0</v>
      </c>
      <c r="H49" s="15">
        <f>ROUNDDOWN(SUM('WK1:WK5'!D48)/MAX(1,INDEX(FREQUENCY('WK1:WK5'!D48,0),2)),0)</f>
        <v>0</v>
      </c>
      <c r="I49" s="16">
        <f t="shared" si="2"/>
        <v>0</v>
      </c>
      <c r="J49" s="17">
        <f>SUM('WK1:WK5'!O48)</f>
        <v>0</v>
      </c>
      <c r="K49" s="46">
        <f>IF(AND((SUM([1]Summary!J49,J49)&gt;0),[1]Summary!I49&gt;0),(I49-(([1]Summary!I49-[1]Summary!J49)-(L49*([1]Summary!I49-[1]Summary!J49))))/(IF(SUM([1]Summary!J49,J49)&gt;0,[1]Summary!J49+J49,0)),0%)</f>
        <v>0</v>
      </c>
      <c r="L49" s="46">
        <f>IF(([1]Summary!I49)&gt;0,(([1]Summary!I49-[1]Summary!J49)-(I49-J49))/(([1]Summary!I49-[1]Summary!J49)),100%)</f>
        <v>1</v>
      </c>
      <c r="M49" s="46">
        <f>IF(I49=0,0%,IF((I49-[2]Sheet1!$G45+([2]Sheet1!$J45/12*1))=0, 0%,(I49-[2]Sheet1!$G45+([2]Sheet1!$J45/12*1))/([2]Sheet1!$G45+([2]Sheet1!$J45/12*1))))</f>
        <v>0</v>
      </c>
      <c r="N49" s="18">
        <f>SUM('WK1:WK5'!M48)</f>
        <v>0</v>
      </c>
      <c r="O49" s="10">
        <f>(SUM('WK1:WK5'!M48)/MAX(1,INDEX(FREQUENCY('WK1:WK5'!M48,0),2)))/IF(F49+G49&gt;0,F49+G49,"1")</f>
        <v>0</v>
      </c>
      <c r="P49" s="46">
        <f>SUM(IF(SUM('WK1:WK5'!J48)&gt;0,SUM('WK1:WK5'!T48)/((SUM('WK1:WK5'!J48)+SUM('WK1:WK5'!K48)+SUM('WK1:WK5'!P48))*0.3),0%),IF(SUM('WK1:WK5'!J48)&gt;0,SUM('WK1:WK5'!U48)/((SUM('WK1:WK5'!J48)+SUM('WK1:WK5'!K48)+SUM('WK1:WK5'!P48))*0.1),0%),IF(SUM('WK1:WK5'!J48)&gt;0,SUM('WK1:WK5'!V48)/((SUM('WK1:WK5'!J48)+SUM('WK1:WK5'!K48)+SUM('WK1:WK5'!P48))*0.3),0%))</f>
        <v>0</v>
      </c>
      <c r="Q49" s="79">
        <f>SUM('WK1:WK5'!Z48)/MAX(1,INDEX(FREQUENCY('WK1:WK5'!Z48,0),2))</f>
        <v>0</v>
      </c>
      <c r="R49" s="78">
        <f>IF(I49&gt;0,SUM('WK1:WK5'!AE48)/MAX(1,INDEX(FREQUENCY('WK1:WK5'!AE48,0),2))/I49,0)</f>
        <v>0</v>
      </c>
      <c r="S49" s="110">
        <f>RANK($J49,(J_Love,J_Maranatha,J_Goodnews,J_Heritage,J_Oyigbo,J_Revival))</f>
        <v>17</v>
      </c>
      <c r="T49" s="110">
        <f>RANK($K49,(K_Love,K_Maranatha,K_Goodnews,K_Heritage,K_Oyigbo,K_Revival))</f>
        <v>17</v>
      </c>
      <c r="U49" s="110">
        <f>RANK($L49,(L_Love,L_Maranatha,L_Goodnews,L_Heritage,L_Oyigbo,L_Revival),1)</f>
        <v>29</v>
      </c>
      <c r="V49" s="110">
        <f>RANK($M49,(M_Love,M_Maranatha,M_Goodnews,M_Heritage,M_Oyigbo,M_Revival))</f>
        <v>11</v>
      </c>
      <c r="W49" s="110">
        <f>RANK($O49,(O_Love,O_Maranatha,O_Goodnews,O_Heritage,O_Oyigbo,O_Revival))</f>
        <v>29</v>
      </c>
      <c r="X49" s="110">
        <f>RANK($P49,(P_Love,P_Maranatha,P_Goodnews,P_Heritage,P_Oyigbo,P_Revival))</f>
        <v>1</v>
      </c>
      <c r="Y49" s="110">
        <f>RANK($Q49,(Q_Love,Q_Maranatha,Q_Goodnews,Q_Heritage,Q_Oyigbo,Q_Revival))</f>
        <v>1</v>
      </c>
      <c r="Z49" s="110">
        <f>RANK($R49,(R_Love,R_Maranatha,R_Goodnews,R_Heritage,R_Oyigbo,R_Revival))</f>
        <v>1</v>
      </c>
      <c r="AA49" s="111">
        <f t="shared" si="0"/>
        <v>106</v>
      </c>
      <c r="AB49" s="112">
        <f>RANK(AA49,(AD_Love,AD_Maranatha,AD_Goodnews,AD_Heritage,AD_Oyigbo,AD_Revival),1)</f>
        <v>25</v>
      </c>
    </row>
    <row r="50" spans="1:28" s="25" customFormat="1" x14ac:dyDescent="0.2">
      <c r="A50" s="250"/>
      <c r="B50" s="38" t="s">
        <v>111</v>
      </c>
      <c r="C50" s="57"/>
      <c r="D50" s="44" t="s">
        <v>148</v>
      </c>
      <c r="E50" s="45" t="s">
        <v>112</v>
      </c>
      <c r="F50" s="15">
        <f>ROUNDDOWN(SUM('WK1:WK5'!B49)/MAX(1,INDEX(FREQUENCY('WK1:WK5'!B49,0),2)),0)</f>
        <v>0</v>
      </c>
      <c r="G50" s="15">
        <f>ROUNDDOWN(SUM('WK1:WK5'!C49)/MAX(1,INDEX(FREQUENCY('WK1:WK5'!C49,0),2)),0)</f>
        <v>0</v>
      </c>
      <c r="H50" s="15">
        <f>ROUNDDOWN(SUM('WK1:WK5'!D49)/MAX(1,INDEX(FREQUENCY('WK1:WK5'!D49,0),2)),0)</f>
        <v>0</v>
      </c>
      <c r="I50" s="16">
        <f t="shared" si="2"/>
        <v>0</v>
      </c>
      <c r="J50" s="17">
        <f>SUM('WK1:WK5'!O49)</f>
        <v>0</v>
      </c>
      <c r="K50" s="46">
        <f>IF(AND((SUM([1]Summary!J50,J50)&gt;0),[1]Summary!I50&gt;0),(I50-(([1]Summary!I50-[1]Summary!J50)-(L50*([1]Summary!I50-[1]Summary!J50))))/(IF(SUM([1]Summary!J50,J50)&gt;0,[1]Summary!J50+J50,0)),0%)</f>
        <v>0</v>
      </c>
      <c r="L50" s="46">
        <f>IF(([1]Summary!I50)&gt;0,(([1]Summary!I50-[1]Summary!J50)-(I50-J50))/(([1]Summary!I50-[1]Summary!J50)),100%)</f>
        <v>1</v>
      </c>
      <c r="M50" s="46">
        <f>IF(I50=0,0%,IF((I50-[2]Sheet1!$G46+([2]Sheet1!$J46/12*1))=0, 0%,(I50-[2]Sheet1!$G46+([2]Sheet1!$J46/12*1))/([2]Sheet1!$G46+([2]Sheet1!$J46/12*1))))</f>
        <v>0</v>
      </c>
      <c r="N50" s="18">
        <f>SUM('WK1:WK5'!M49)</f>
        <v>0</v>
      </c>
      <c r="O50" s="10">
        <f>(SUM('WK1:WK5'!M49)/MAX(1,INDEX(FREQUENCY('WK1:WK5'!M49,0),2)))/IF(F50+G50&gt;0,F50+G50,"1")</f>
        <v>0</v>
      </c>
      <c r="P50" s="46">
        <f>SUM(IF(SUM('WK1:WK5'!J49)&gt;0,SUM('WK1:WK5'!T49)/((SUM('WK1:WK5'!J49)+SUM('WK1:WK5'!K49)+SUM('WK1:WK5'!P49))*0.3),0%),IF(SUM('WK1:WK5'!J49)&gt;0,SUM('WK1:WK5'!U49)/((SUM('WK1:WK5'!J49)+SUM('WK1:WK5'!K49)+SUM('WK1:WK5'!P49))*0.1),0%),IF(SUM('WK1:WK5'!J49)&gt;0,SUM('WK1:WK5'!V49)/((SUM('WK1:WK5'!J49)+SUM('WK1:WK5'!K49)+SUM('WK1:WK5'!P49))*0.3),0%))</f>
        <v>0</v>
      </c>
      <c r="Q50" s="79">
        <f>SUM('WK1:WK5'!Z49)/MAX(1,INDEX(FREQUENCY('WK1:WK5'!Z49,0),2))</f>
        <v>0</v>
      </c>
      <c r="R50" s="78">
        <f>IF(I50&gt;0,SUM('WK1:WK5'!AE49)/MAX(1,INDEX(FREQUENCY('WK1:WK5'!AE49,0),2))/I50,0)</f>
        <v>0</v>
      </c>
      <c r="S50" s="110">
        <f>RANK($J50,(J_Love,J_Maranatha,J_Goodnews,J_Heritage,J_Oyigbo,J_Revival))</f>
        <v>17</v>
      </c>
      <c r="T50" s="110">
        <f>RANK($K50,(K_Love,K_Maranatha,K_Goodnews,K_Heritage,K_Oyigbo,K_Revival))</f>
        <v>17</v>
      </c>
      <c r="U50" s="110">
        <f>RANK($L50,(L_Love,L_Maranatha,L_Goodnews,L_Heritage,L_Oyigbo,L_Revival),1)</f>
        <v>29</v>
      </c>
      <c r="V50" s="110">
        <f>RANK($M50,(M_Love,M_Maranatha,M_Goodnews,M_Heritage,M_Oyigbo,M_Revival))</f>
        <v>11</v>
      </c>
      <c r="W50" s="110">
        <f>RANK($O50,(O_Love,O_Maranatha,O_Goodnews,O_Heritage,O_Oyigbo,O_Revival))</f>
        <v>29</v>
      </c>
      <c r="X50" s="110">
        <f>RANK($P50,(P_Love,P_Maranatha,P_Goodnews,P_Heritage,P_Oyigbo,P_Revival))</f>
        <v>1</v>
      </c>
      <c r="Y50" s="110">
        <f>RANK($Q50,(Q_Love,Q_Maranatha,Q_Goodnews,Q_Heritage,Q_Oyigbo,Q_Revival))</f>
        <v>1</v>
      </c>
      <c r="Z50" s="110">
        <f>RANK($R50,(R_Love,R_Maranatha,R_Goodnews,R_Heritage,R_Oyigbo,R_Revival))</f>
        <v>1</v>
      </c>
      <c r="AA50" s="111">
        <f t="shared" si="0"/>
        <v>106</v>
      </c>
      <c r="AB50" s="112">
        <f>RANK(AA50,(AD_Love,AD_Maranatha,AD_Goodnews,AD_Heritage,AD_Oyigbo,AD_Revival),1)</f>
        <v>25</v>
      </c>
    </row>
    <row r="51" spans="1:28" ht="15" customHeight="1" thickBot="1" x14ac:dyDescent="0.25">
      <c r="A51" s="250"/>
      <c r="B51" s="259" t="s">
        <v>110</v>
      </c>
      <c r="C51" s="260"/>
      <c r="D51" s="260"/>
      <c r="E51" s="261"/>
      <c r="F51" s="75">
        <f>SUM(F38:F50)</f>
        <v>55</v>
      </c>
      <c r="G51" s="75">
        <f>SUM(G38:G50)</f>
        <v>84</v>
      </c>
      <c r="H51" s="75">
        <f>SUM(H38:H50)</f>
        <v>96</v>
      </c>
      <c r="I51" s="75">
        <f>SUM(I38:I50)</f>
        <v>235</v>
      </c>
      <c r="J51" s="75">
        <f>SUM(J38:J50)</f>
        <v>4</v>
      </c>
      <c r="K51" s="23">
        <f>IF(SUM(K38:K50)&gt;0,AVERAGEIF(K38:K50,"&lt;&gt;0"),0)</f>
        <v>1</v>
      </c>
      <c r="L51" s="85">
        <f>IF(SUM(L38:L50)=0,100%,AVERAGEIF(L38:L50,"&lt;&gt;0"))</f>
        <v>0.81488453208218448</v>
      </c>
      <c r="M51" s="85">
        <f>IF(SUM(M38:M50)=0,0%,AVERAGEIF(M38:M50,"&lt;&gt;0"))</f>
        <v>3.7267244884436536E-2</v>
      </c>
      <c r="N51" s="22">
        <f>SUM(N38:N50)</f>
        <v>69490</v>
      </c>
      <c r="O51" s="76">
        <f>IF(SUM(O38:O50)&gt;0,AVERAGEIF(O38:O50,"&lt;&gt;0"),0)</f>
        <v>332.37416666666667</v>
      </c>
      <c r="P51" s="121">
        <f>IF(SUM(P38:P50)&gt;0,AVERAGEIF(P38:P50,"&lt;&gt;0"),0%)</f>
        <v>0</v>
      </c>
      <c r="Q51" s="102">
        <f>IF(SUM(Q38:Q50)&gt;0,AVERAGEIF(Q38:Q50,"&lt;&gt;0"),0)</f>
        <v>0</v>
      </c>
      <c r="R51" s="108">
        <f>IF(SUM(R38:R50)&gt;0,AVERAGEIF(R38:R50,"&lt;&gt;0"),0)</f>
        <v>0</v>
      </c>
      <c r="S51" s="113">
        <f>RANK($J51,J_Zone)</f>
        <v>5</v>
      </c>
      <c r="T51" s="113">
        <f>RANK($K51,K_Zone)</f>
        <v>1</v>
      </c>
      <c r="U51" s="113">
        <f>RANK($L51,L_Zone)</f>
        <v>1</v>
      </c>
      <c r="V51" s="113">
        <f>RANK($M51,M_Zone)</f>
        <v>2</v>
      </c>
      <c r="W51" s="113">
        <f>RANK($O51,O_Zone)</f>
        <v>5</v>
      </c>
      <c r="X51" s="113">
        <f>RANK($P51,P_Zone)</f>
        <v>1</v>
      </c>
      <c r="Y51" s="113">
        <f>RANK($Q51,Q_Zone)</f>
        <v>1</v>
      </c>
      <c r="Z51" s="113">
        <f>RANK($R51,R_Zone)</f>
        <v>1</v>
      </c>
      <c r="AA51" s="116">
        <f t="shared" si="0"/>
        <v>17</v>
      </c>
      <c r="AB51" s="115">
        <f>RANK(AA51,AD_Zone,1)</f>
        <v>1</v>
      </c>
    </row>
    <row r="52" spans="1:28" ht="29.25" thickBot="1" x14ac:dyDescent="0.25">
      <c r="A52" s="4" t="s">
        <v>113</v>
      </c>
      <c r="B52" s="65" t="s">
        <v>114</v>
      </c>
      <c r="C52" s="66">
        <v>8070790238</v>
      </c>
      <c r="D52" s="67" t="s">
        <v>115</v>
      </c>
      <c r="E52" s="68" t="s">
        <v>119</v>
      </c>
      <c r="F52" s="69">
        <f>F11+F16+F22+F27+F37+F51</f>
        <v>711</v>
      </c>
      <c r="G52" s="69">
        <f>G11+G16+G22+G27+G37+G51</f>
        <v>956</v>
      </c>
      <c r="H52" s="69">
        <f>H11+H16+H22+H27+H37+H51</f>
        <v>1034</v>
      </c>
      <c r="I52" s="70">
        <f>I11+I16+I22+I27+I37+I51</f>
        <v>2701</v>
      </c>
      <c r="J52" s="71">
        <f>J11+J16+J22+J27+J37+J51</f>
        <v>80</v>
      </c>
      <c r="K52" s="86">
        <f>IF(SUM(K7:K51)&gt;0,AVERAGEIF(K7:K51,"&lt;&gt;0"),0)</f>
        <v>0.51564916078073975</v>
      </c>
      <c r="L52" s="72">
        <f>AVERAGEIF(L7:L51,"&lt;&gt;0")</f>
        <v>0.15291983195839512</v>
      </c>
      <c r="M52" s="72">
        <f>IF(SUM(M7:M51)&gt;0,AVERAGEIF(M7:M51,"&lt;&gt;0"),0)</f>
        <v>0</v>
      </c>
      <c r="N52" s="73">
        <f>N16+N22+N27+N37+N51</f>
        <v>1838460</v>
      </c>
      <c r="O52" s="74">
        <f>IF(SUM(O7:O51)&gt;0,AVERAGEIF(O7:O51,"&lt;&gt;0"),0)</f>
        <v>435.91873798042849</v>
      </c>
      <c r="P52" s="103">
        <f>IF(SUM(P7:P51)&gt;0,AVERAGEIF(P7:P51,"&lt;&gt;0"),0)</f>
        <v>0</v>
      </c>
      <c r="Q52" s="104">
        <f>IF(SUM(Q7:Q51)&gt;0,AVERAGEIF(Q7:Q51,"&lt;&gt;0"),0)</f>
        <v>0</v>
      </c>
      <c r="R52" s="109">
        <f>IF(SUM(R7:R51)&gt;0,AVERAGEIF(R7:R51,"&lt;&gt;0"),0)</f>
        <v>0</v>
      </c>
      <c r="S52" s="240"/>
      <c r="T52" s="241"/>
      <c r="U52" s="241"/>
      <c r="V52" s="241"/>
      <c r="W52" s="241"/>
      <c r="X52" s="241"/>
      <c r="Y52" s="241"/>
      <c r="Z52" s="241"/>
      <c r="AA52" s="241"/>
      <c r="AB52" s="242"/>
    </row>
  </sheetData>
  <sheetProtection password="A367" sheet="1" objects="1" scenarios="1"/>
  <mergeCells count="26">
    <mergeCell ref="R5:R6"/>
    <mergeCell ref="F5:L5"/>
    <mergeCell ref="A1:E3"/>
    <mergeCell ref="A4:E4"/>
    <mergeCell ref="P5:Q5"/>
    <mergeCell ref="A5:A6"/>
    <mergeCell ref="B5:B6"/>
    <mergeCell ref="C5:C6"/>
    <mergeCell ref="D5:D6"/>
    <mergeCell ref="E5:E6"/>
    <mergeCell ref="N5:O5"/>
    <mergeCell ref="F4:R4"/>
    <mergeCell ref="S52:AB52"/>
    <mergeCell ref="S4:AB5"/>
    <mergeCell ref="A23:A27"/>
    <mergeCell ref="A28:A37"/>
    <mergeCell ref="A38:A51"/>
    <mergeCell ref="B16:E16"/>
    <mergeCell ref="B11:E11"/>
    <mergeCell ref="A7:A11"/>
    <mergeCell ref="A12:A16"/>
    <mergeCell ref="B51:E51"/>
    <mergeCell ref="B37:E37"/>
    <mergeCell ref="B22:E22"/>
    <mergeCell ref="B27:E27"/>
    <mergeCell ref="A17:A22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P51"/>
  <sheetViews>
    <sheetView zoomScaleNormal="100" workbookViewId="0">
      <pane xSplit="1" ySplit="5" topLeftCell="B6" activePane="bottomRight" state="frozen"/>
      <selection activeCell="C1" sqref="C1"/>
      <selection pane="topRight" activeCell="F1" sqref="F1"/>
      <selection pane="bottomLeft" activeCell="C6" sqref="C6"/>
      <selection pane="bottomRight" activeCell="G3" sqref="G3"/>
    </sheetView>
  </sheetViews>
  <sheetFormatPr defaultColWidth="9.140625" defaultRowHeight="15" x14ac:dyDescent="0.25"/>
  <cols>
    <col min="1" max="1" width="23.7109375" style="5" customWidth="1"/>
    <col min="2" max="2" width="8.5703125" style="1" customWidth="1"/>
    <col min="3" max="3" width="8.85546875" style="1" customWidth="1"/>
    <col min="4" max="4" width="10.7109375" style="1" customWidth="1"/>
    <col min="5" max="5" width="8.140625" style="1" customWidth="1"/>
    <col min="6" max="6" width="8.42578125" style="1" customWidth="1"/>
    <col min="7" max="7" width="10.42578125" style="1" customWidth="1"/>
    <col min="8" max="9" width="8.140625" style="1" customWidth="1"/>
    <col min="10" max="10" width="11" style="1" customWidth="1"/>
    <col min="11" max="11" width="7.85546875" style="1" customWidth="1"/>
    <col min="12" max="12" width="8.5703125" style="1" customWidth="1"/>
    <col min="13" max="13" width="10.5703125" style="1" customWidth="1"/>
    <col min="14" max="14" width="8.140625" style="1" customWidth="1"/>
    <col min="15" max="15" width="8.7109375" style="1" customWidth="1"/>
    <col min="16" max="16" width="11.42578125" style="1" customWidth="1"/>
    <col min="17" max="16384" width="9.140625" style="80"/>
  </cols>
  <sheetData>
    <row r="1" spans="1:16" x14ac:dyDescent="0.25">
      <c r="A1" s="267"/>
    </row>
    <row r="2" spans="1:16" x14ac:dyDescent="0.25">
      <c r="A2" s="267"/>
    </row>
    <row r="3" spans="1:16" ht="15.75" thickBot="1" x14ac:dyDescent="0.3">
      <c r="A3" s="268"/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</row>
    <row r="4" spans="1:16" ht="15.75" customHeight="1" thickBot="1" x14ac:dyDescent="0.3">
      <c r="A4" s="295" t="s">
        <v>180</v>
      </c>
      <c r="B4" s="279" t="s">
        <v>170</v>
      </c>
      <c r="C4" s="279"/>
      <c r="D4" s="280"/>
      <c r="E4" s="279" t="s">
        <v>169</v>
      </c>
      <c r="F4" s="279"/>
      <c r="G4" s="280"/>
      <c r="H4" s="281" t="s">
        <v>171</v>
      </c>
      <c r="I4" s="279"/>
      <c r="J4" s="280"/>
      <c r="K4" s="279" t="s">
        <v>172</v>
      </c>
      <c r="L4" s="279"/>
      <c r="M4" s="280"/>
      <c r="N4" s="279" t="s">
        <v>173</v>
      </c>
      <c r="O4" s="279"/>
      <c r="P4" s="280"/>
    </row>
    <row r="5" spans="1:16" ht="15" customHeight="1" x14ac:dyDescent="0.25">
      <c r="A5" s="81" t="s">
        <v>0</v>
      </c>
      <c r="B5" s="88" t="s">
        <v>168</v>
      </c>
      <c r="C5" s="88" t="s">
        <v>167</v>
      </c>
      <c r="D5" s="89" t="s">
        <v>165</v>
      </c>
      <c r="E5" s="88" t="s">
        <v>168</v>
      </c>
      <c r="F5" s="88" t="s">
        <v>167</v>
      </c>
      <c r="G5" s="89" t="s">
        <v>165</v>
      </c>
      <c r="H5" s="88" t="s">
        <v>168</v>
      </c>
      <c r="I5" s="88" t="s">
        <v>167</v>
      </c>
      <c r="J5" s="89" t="s">
        <v>165</v>
      </c>
      <c r="K5" s="88" t="s">
        <v>168</v>
      </c>
      <c r="L5" s="88" t="s">
        <v>167</v>
      </c>
      <c r="M5" s="89" t="s">
        <v>165</v>
      </c>
      <c r="N5" s="88" t="s">
        <v>168</v>
      </c>
      <c r="O5" s="88" t="s">
        <v>167</v>
      </c>
      <c r="P5" s="89" t="s">
        <v>165</v>
      </c>
    </row>
    <row r="6" spans="1:16" ht="15" customHeight="1" x14ac:dyDescent="0.25">
      <c r="A6" s="9" t="s">
        <v>1</v>
      </c>
      <c r="B6" s="90">
        <f>'WK1'!E6</f>
        <v>242</v>
      </c>
      <c r="C6" s="91">
        <f>[2]Sheet1!$G3+([2]Sheet1!$J3/53)</f>
        <v>322.71380978313101</v>
      </c>
      <c r="D6" s="93">
        <f>IF(AND(C6=0,B6=0),"Missing Values",B6-C6)</f>
        <v>-80.713809783131012</v>
      </c>
      <c r="E6" s="90">
        <f>'WK2 '!E6</f>
        <v>242</v>
      </c>
      <c r="F6" s="91">
        <f>[2]Sheet1!$G3+([2]Sheet1!$J3/53 *2)</f>
        <v>324.42761956626197</v>
      </c>
      <c r="G6" s="93">
        <f>IF(AND(F6=0,E6=0),"Missing Values",E6-F6)</f>
        <v>-82.427619566261967</v>
      </c>
      <c r="H6" s="90">
        <f>'WK3'!E6</f>
        <v>265</v>
      </c>
      <c r="I6" s="91">
        <f>[2]Sheet1!$G3+([2]Sheet1!$J3/53 *3)</f>
        <v>326.14142934939298</v>
      </c>
      <c r="J6" s="93">
        <f>IF(AND(I6=0,H6=0),"Missing Values",H6-I6)</f>
        <v>-61.141429349392979</v>
      </c>
      <c r="K6" s="90">
        <f>'WK4'!E6</f>
        <v>258</v>
      </c>
      <c r="L6" s="91">
        <f>[2]Sheet1!$G3+([2]Sheet1!$J3/53 *4)</f>
        <v>327.85523913252393</v>
      </c>
      <c r="M6" s="93">
        <f>IF(AND(L6=0,K6=0),"Missing Values",K6-L6)</f>
        <v>-69.855239132523934</v>
      </c>
      <c r="N6" s="90">
        <f>'WK5'!E6</f>
        <v>0</v>
      </c>
      <c r="O6" s="91">
        <f>[2]Sheet1!$G3+([2]Sheet1!$J3/53 *5)</f>
        <v>329.56904891565495</v>
      </c>
      <c r="P6" s="93">
        <f>IF(AND(O6=0,N6=0),"Missing Values",N6-O6)</f>
        <v>-329.56904891565495</v>
      </c>
    </row>
    <row r="7" spans="1:16" x14ac:dyDescent="0.25">
      <c r="A7" s="9" t="s">
        <v>2</v>
      </c>
      <c r="B7" s="90">
        <f>'WK1'!E7</f>
        <v>280</v>
      </c>
      <c r="C7" s="91">
        <f>[2]Sheet1!$G4+([2]Sheet1!$J4/53)</f>
        <v>269.43084430491933</v>
      </c>
      <c r="D7" s="93">
        <f>IF(AND(C7=0,B7=0),"Missing Values",B7-C7)</f>
        <v>10.569155695080667</v>
      </c>
      <c r="E7" s="90">
        <f>'WK2 '!E7</f>
        <v>280</v>
      </c>
      <c r="F7" s="91">
        <f>[2]Sheet1!$G4+([2]Sheet1!$J4/53 *2)</f>
        <v>270.86168860983867</v>
      </c>
      <c r="G7" s="93">
        <f>IF(AND(F7=0,E7=0),"Missing Values",E7-F7)</f>
        <v>9.1383113901613342</v>
      </c>
      <c r="H7" s="90">
        <f>'WK3'!E7</f>
        <v>237</v>
      </c>
      <c r="I7" s="91">
        <f>[2]Sheet1!$G4+([2]Sheet1!$J4/53 *3)</f>
        <v>272.292532914758</v>
      </c>
      <c r="J7" s="93">
        <f>IF(AND(I7=0,H7=0),"Missing Values",H7-I7)</f>
        <v>-35.292532914757999</v>
      </c>
      <c r="K7" s="90">
        <f>'WK4'!E7</f>
        <v>278</v>
      </c>
      <c r="L7" s="91">
        <f>[2]Sheet1!$G4+([2]Sheet1!$J4/53 *4)</f>
        <v>273.72337721967733</v>
      </c>
      <c r="M7" s="93">
        <f>IF(AND(L7=0,K7=0),"Missing Values",K7-L7)</f>
        <v>4.2766227803226684</v>
      </c>
      <c r="N7" s="90">
        <f>'WK5'!E7</f>
        <v>0</v>
      </c>
      <c r="O7" s="91">
        <f>[2]Sheet1!$G4+([2]Sheet1!$J4/53 *5)</f>
        <v>275.15422152459666</v>
      </c>
      <c r="P7" s="93">
        <f>IF(AND(O7=0,N7=0),"Missing Values",N7-O7)</f>
        <v>-275.15422152459666</v>
      </c>
    </row>
    <row r="8" spans="1:16" x14ac:dyDescent="0.25">
      <c r="A8" s="9" t="s">
        <v>5</v>
      </c>
      <c r="B8" s="90">
        <f>'WK1'!E8</f>
        <v>12</v>
      </c>
      <c r="C8" s="91">
        <f>[2]Sheet1!$G5+([2]Sheet1!$J5/53)</f>
        <v>14.263424843301193</v>
      </c>
      <c r="D8" s="93">
        <f>IF(AND(C8=0,B8=0),"Missing Values",B8-C8)</f>
        <v>-2.263424843301193</v>
      </c>
      <c r="E8" s="90">
        <f>'WK2 '!E8</f>
        <v>12</v>
      </c>
      <c r="F8" s="91">
        <f>[2]Sheet1!$G5+([2]Sheet1!$J5/53 *2)</f>
        <v>14.526849686602386</v>
      </c>
      <c r="G8" s="93">
        <f>IF(AND(F8=0,E8=0),"Missing Values",E8-F8)</f>
        <v>-2.526849686602386</v>
      </c>
      <c r="H8" s="90">
        <f>'WK3'!E8</f>
        <v>11</v>
      </c>
      <c r="I8" s="91">
        <f>[2]Sheet1!$G5+([2]Sheet1!$J5/53 *3)</f>
        <v>14.790274529903579</v>
      </c>
      <c r="J8" s="93">
        <f>IF(AND(I8=0,H8=0),"Missing Values",H8-I8)</f>
        <v>-3.7902745299035789</v>
      </c>
      <c r="K8" s="90">
        <f>'WK4'!E8</f>
        <v>10</v>
      </c>
      <c r="L8" s="91">
        <f>[2]Sheet1!$G5+([2]Sheet1!$J5/53 *4)</f>
        <v>15.053699373204772</v>
      </c>
      <c r="M8" s="93">
        <f>IF(AND(L8=0,K8=0),"Missing Values",K8-L8)</f>
        <v>-5.0536993732047719</v>
      </c>
      <c r="N8" s="90">
        <f>'WK5'!E8</f>
        <v>0</v>
      </c>
      <c r="O8" s="91">
        <f>[2]Sheet1!$G5+([2]Sheet1!$J5/53 *5)</f>
        <v>15.317124216505963</v>
      </c>
      <c r="P8" s="93">
        <f>IF(AND(O8=0,N8=0),"Missing Values",N8-O8)</f>
        <v>-15.317124216505963</v>
      </c>
    </row>
    <row r="9" spans="1:16" x14ac:dyDescent="0.25">
      <c r="A9" s="9" t="s">
        <v>6</v>
      </c>
      <c r="B9" s="90">
        <f>'WK1'!E9</f>
        <v>31</v>
      </c>
      <c r="C9" s="91">
        <f>[2]Sheet1!$G6+([2]Sheet1!$J6/53)</f>
        <v>26.327492498745343</v>
      </c>
      <c r="D9" s="93">
        <f>IF(AND(C9=0,B9=0),"Missing Values",B9-C9)</f>
        <v>4.6725075012546569</v>
      </c>
      <c r="E9" s="90">
        <f>'WK2 '!E9</f>
        <v>31</v>
      </c>
      <c r="F9" s="91">
        <f>[2]Sheet1!$G6+([2]Sheet1!$J6/53 *2)</f>
        <v>26.654984997490683</v>
      </c>
      <c r="G9" s="93">
        <f>IF(AND(F9=0,E9=0),"Missing Values",E9-F9)</f>
        <v>4.3450150025093173</v>
      </c>
      <c r="H9" s="90">
        <f>'WK3'!E9</f>
        <v>31</v>
      </c>
      <c r="I9" s="91">
        <f>[2]Sheet1!$G6+([2]Sheet1!$J6/53 *3)</f>
        <v>26.982477496236026</v>
      </c>
      <c r="J9" s="93">
        <f>IF(AND(I9=0,H9=0),"Missing Values",H9-I9)</f>
        <v>4.0175225037639741</v>
      </c>
      <c r="K9" s="90">
        <f>'WK4'!E9</f>
        <v>21</v>
      </c>
      <c r="L9" s="91">
        <f>[2]Sheet1!$G6+([2]Sheet1!$J6/53 *4)</f>
        <v>27.309969994981365</v>
      </c>
      <c r="M9" s="93">
        <f>IF(AND(L9=0,K9=0),"Missing Values",K9-L9)</f>
        <v>-6.3099699949813655</v>
      </c>
      <c r="N9" s="90">
        <f>'WK5'!E9</f>
        <v>0</v>
      </c>
      <c r="O9" s="91">
        <f>[2]Sheet1!$G6+([2]Sheet1!$J6/53 *5)</f>
        <v>27.637462493726709</v>
      </c>
      <c r="P9" s="93">
        <f>IF(AND(O9=0,N9=0),"Missing Values",N9-O9)</f>
        <v>-27.637462493726709</v>
      </c>
    </row>
    <row r="10" spans="1:16" x14ac:dyDescent="0.25">
      <c r="A10" s="232"/>
      <c r="B10" s="82">
        <f t="shared" ref="B10:P10" si="0">SUM(B6:B9)</f>
        <v>565</v>
      </c>
      <c r="C10" s="87">
        <f t="shared" si="0"/>
        <v>632.73557143009691</v>
      </c>
      <c r="D10" s="94">
        <f t="shared" si="0"/>
        <v>-67.735571430096883</v>
      </c>
      <c r="E10" s="82">
        <f t="shared" si="0"/>
        <v>565</v>
      </c>
      <c r="F10" s="87">
        <f t="shared" si="0"/>
        <v>636.47114286019371</v>
      </c>
      <c r="G10" s="94">
        <f t="shared" si="0"/>
        <v>-71.471142860193709</v>
      </c>
      <c r="H10" s="82">
        <f t="shared" si="0"/>
        <v>544</v>
      </c>
      <c r="I10" s="87">
        <f t="shared" si="0"/>
        <v>640.20671429029062</v>
      </c>
      <c r="J10" s="94">
        <f t="shared" si="0"/>
        <v>-96.206714290290591</v>
      </c>
      <c r="K10" s="82">
        <f t="shared" si="0"/>
        <v>567</v>
      </c>
      <c r="L10" s="87">
        <f t="shared" si="0"/>
        <v>643.9422857203873</v>
      </c>
      <c r="M10" s="94">
        <f t="shared" si="0"/>
        <v>-76.942285720387417</v>
      </c>
      <c r="N10" s="82">
        <f t="shared" si="0"/>
        <v>0</v>
      </c>
      <c r="O10" s="87">
        <f t="shared" si="0"/>
        <v>647.67785715048421</v>
      </c>
      <c r="P10" s="94">
        <f t="shared" si="0"/>
        <v>-647.67785715048421</v>
      </c>
    </row>
    <row r="11" spans="1:16" ht="15" customHeight="1" x14ac:dyDescent="0.25">
      <c r="A11" s="9" t="s">
        <v>65</v>
      </c>
      <c r="B11" s="90">
        <f>'WK1'!E11</f>
        <v>247</v>
      </c>
      <c r="C11" s="91">
        <f>[2]Sheet1!$G8+([2]Sheet1!$J8/53)</f>
        <v>316.68177595540891</v>
      </c>
      <c r="D11" s="93">
        <f>IF(AND(C11=0,B11=0),"Missing Values",B11-C11)</f>
        <v>-69.681775955408909</v>
      </c>
      <c r="E11" s="90">
        <f>'WK2 '!E11</f>
        <v>247</v>
      </c>
      <c r="F11" s="91">
        <f>[2]Sheet1!$G8+([2]Sheet1!$J8/53 *2)</f>
        <v>318.36355191081782</v>
      </c>
      <c r="G11" s="93">
        <f>IF(AND(F11=0,E11=0),"Missing Values",E11-F11)</f>
        <v>-71.363551910817819</v>
      </c>
      <c r="H11" s="90">
        <f>'WK3'!E11</f>
        <v>217</v>
      </c>
      <c r="I11" s="91">
        <f>[2]Sheet1!$G8+([2]Sheet1!$J8/53 *3)</f>
        <v>320.04532786622673</v>
      </c>
      <c r="J11" s="93">
        <f>IF(AND(I11=0,H11=0),"Missing Values",H11-I11)</f>
        <v>-103.04532786622673</v>
      </c>
      <c r="K11" s="90">
        <f>'WK4'!E11</f>
        <v>225</v>
      </c>
      <c r="L11" s="91">
        <f>[2]Sheet1!$G8+([2]Sheet1!$J8/53 *4)</f>
        <v>321.72710382163564</v>
      </c>
      <c r="M11" s="93">
        <f>IF(AND(L11=0,K11=0),"Missing Values",K11-L11)</f>
        <v>-96.727103821635637</v>
      </c>
      <c r="N11" s="90">
        <f>'WK5'!E11</f>
        <v>0</v>
      </c>
      <c r="O11" s="91">
        <f>[2]Sheet1!$G8+([2]Sheet1!$J8/53 *5)</f>
        <v>323.40887977704455</v>
      </c>
      <c r="P11" s="93">
        <f>IF(AND(O11=0,N11=0),"Missing Values",N11-O11)</f>
        <v>-323.40887977704455</v>
      </c>
    </row>
    <row r="12" spans="1:16" x14ac:dyDescent="0.25">
      <c r="A12" s="9" t="s">
        <v>4</v>
      </c>
      <c r="B12" s="90">
        <f>'WK1'!E12</f>
        <v>108</v>
      </c>
      <c r="C12" s="91">
        <f>[2]Sheet1!$G9+([2]Sheet1!$J9/53)</f>
        <v>86.459151530683073</v>
      </c>
      <c r="D12" s="93">
        <f>IF(AND(C12=0,B12=0),"Missing Values",B12-C12)</f>
        <v>21.540848469316927</v>
      </c>
      <c r="E12" s="90">
        <f>'WK2 '!E12</f>
        <v>108</v>
      </c>
      <c r="F12" s="91">
        <f>[2]Sheet1!$G9+([2]Sheet1!$J9/53 *2)</f>
        <v>86.918303061366132</v>
      </c>
      <c r="G12" s="93">
        <f>IF(AND(F12=0,E12=0),"Missing Values",E12-F12)</f>
        <v>21.081696938633868</v>
      </c>
      <c r="H12" s="90">
        <f>'WK3'!E12</f>
        <v>107</v>
      </c>
      <c r="I12" s="91">
        <f>[2]Sheet1!$G9+([2]Sheet1!$J9/53 *3)</f>
        <v>87.377454592049205</v>
      </c>
      <c r="J12" s="93">
        <f>IF(AND(I12=0,H12=0),"Missing Values",H12-I12)</f>
        <v>19.622545407950795</v>
      </c>
      <c r="K12" s="90">
        <f>'WK4'!E12</f>
        <v>127</v>
      </c>
      <c r="L12" s="91">
        <f>[2]Sheet1!$G9+([2]Sheet1!$J9/53 *4)</f>
        <v>87.836606122732277</v>
      </c>
      <c r="M12" s="93">
        <f>IF(AND(L12=0,K12=0),"Missing Values",K12-L12)</f>
        <v>39.163393877267723</v>
      </c>
      <c r="N12" s="90">
        <f>'WK5'!E12</f>
        <v>0</v>
      </c>
      <c r="O12" s="91">
        <f>[2]Sheet1!$G9+([2]Sheet1!$J9/53 *5)</f>
        <v>88.295757653415336</v>
      </c>
      <c r="P12" s="93">
        <f>IF(AND(O12=0,N12=0),"Missing Values",N12-O12)</f>
        <v>-88.295757653415336</v>
      </c>
    </row>
    <row r="13" spans="1:16" x14ac:dyDescent="0.25">
      <c r="A13" s="9" t="s">
        <v>3</v>
      </c>
      <c r="B13" s="90">
        <f>'WK1'!E13</f>
        <v>76</v>
      </c>
      <c r="C13" s="91">
        <f>[2]Sheet1!$G10+([2]Sheet1!$J10/53)</f>
        <v>58.309660334646722</v>
      </c>
      <c r="D13" s="93">
        <f>IF(AND(C13=0,B13=0),"Missing Values",B13-C13)</f>
        <v>17.690339665353278</v>
      </c>
      <c r="E13" s="90">
        <f>'WK2 '!E13</f>
        <v>76</v>
      </c>
      <c r="F13" s="91">
        <f>[2]Sheet1!$G10+([2]Sheet1!$J10/53 *2)</f>
        <v>58.619320669293444</v>
      </c>
      <c r="G13" s="93">
        <f>IF(AND(F13=0,E13=0),"Missing Values",E13-F13)</f>
        <v>17.380679330706556</v>
      </c>
      <c r="H13" s="90">
        <f>'WK3'!E13</f>
        <v>79</v>
      </c>
      <c r="I13" s="91">
        <f>[2]Sheet1!$G10+([2]Sheet1!$J10/53 *3)</f>
        <v>58.928981003940159</v>
      </c>
      <c r="J13" s="93">
        <f>IF(AND(I13=0,H13=0),"Missing Values",H13-I13)</f>
        <v>20.071018996059841</v>
      </c>
      <c r="K13" s="90">
        <f>'WK4'!E13</f>
        <v>72</v>
      </c>
      <c r="L13" s="91">
        <f>[2]Sheet1!$G10+([2]Sheet1!$J10/53 *4)</f>
        <v>59.238641338586881</v>
      </c>
      <c r="M13" s="93">
        <f>IF(AND(L13=0,K13=0),"Missing Values",K13-L13)</f>
        <v>12.761358661413119</v>
      </c>
      <c r="N13" s="90">
        <f>'WK5'!E13</f>
        <v>0</v>
      </c>
      <c r="O13" s="91">
        <f>[2]Sheet1!$G10+([2]Sheet1!$J10/53 *5)</f>
        <v>59.548301673233603</v>
      </c>
      <c r="P13" s="93">
        <f>IF(AND(O13=0,N13=0),"Missing Values",N13-O13)</f>
        <v>-59.548301673233603</v>
      </c>
    </row>
    <row r="14" spans="1:16" x14ac:dyDescent="0.25">
      <c r="A14" s="9" t="s">
        <v>107</v>
      </c>
      <c r="B14" s="90">
        <f>'WK1'!E14</f>
        <v>10</v>
      </c>
      <c r="C14" s="91">
        <f>[2]Sheet1!$G11+([2]Sheet1!$J11/53)</f>
        <v>13.258085872014181</v>
      </c>
      <c r="D14" s="93">
        <f>IF(AND(C14=0,B14=0),"Missing Values",B14-C14)</f>
        <v>-3.2580858720141812</v>
      </c>
      <c r="E14" s="90">
        <f>'WK2 '!E14</f>
        <v>10</v>
      </c>
      <c r="F14" s="91">
        <f>[2]Sheet1!$G11+([2]Sheet1!$J11/53 *2)</f>
        <v>13.516171744028361</v>
      </c>
      <c r="G14" s="93">
        <f>IF(AND(F14=0,E14=0),"Missing Values",E14-F14)</f>
        <v>-3.5161717440283606</v>
      </c>
      <c r="H14" s="90">
        <f>'WK3'!E14</f>
        <v>16</v>
      </c>
      <c r="I14" s="91">
        <f>[2]Sheet1!$G11+([2]Sheet1!$J11/53 *3)</f>
        <v>13.77425761604254</v>
      </c>
      <c r="J14" s="93">
        <f>IF(AND(I14=0,H14=0),"Missing Values",H14-I14)</f>
        <v>2.2257423839574599</v>
      </c>
      <c r="K14" s="90">
        <f>'WK4'!E14</f>
        <v>16</v>
      </c>
      <c r="L14" s="91">
        <f>[2]Sheet1!$G11+([2]Sheet1!$J11/53 *4)</f>
        <v>14.032343488056721</v>
      </c>
      <c r="M14" s="93">
        <f>IF(AND(L14=0,K14=0),"Missing Values",K14-L14)</f>
        <v>1.9676565119432787</v>
      </c>
      <c r="N14" s="90">
        <f>'WK5'!E14</f>
        <v>0</v>
      </c>
      <c r="O14" s="91">
        <f>[2]Sheet1!$G11+([2]Sheet1!$J11/53 *5)</f>
        <v>14.290429360070902</v>
      </c>
      <c r="P14" s="93">
        <f>IF(AND(O14=0,N14=0),"Missing Values",N14-O14)</f>
        <v>-14.290429360070902</v>
      </c>
    </row>
    <row r="15" spans="1:16" x14ac:dyDescent="0.25">
      <c r="A15" s="233"/>
      <c r="B15" s="82">
        <f t="shared" ref="B15:P15" si="1">SUM(B11:B14)</f>
        <v>441</v>
      </c>
      <c r="C15" s="83">
        <f t="shared" si="1"/>
        <v>474.70867369275288</v>
      </c>
      <c r="D15" s="94">
        <f t="shared" si="1"/>
        <v>-33.708673692752882</v>
      </c>
      <c r="E15" s="82">
        <f t="shared" si="1"/>
        <v>441</v>
      </c>
      <c r="F15" s="83">
        <f t="shared" si="1"/>
        <v>477.41734738550576</v>
      </c>
      <c r="G15" s="94">
        <f t="shared" si="1"/>
        <v>-36.417347385505757</v>
      </c>
      <c r="H15" s="82">
        <f t="shared" si="1"/>
        <v>419</v>
      </c>
      <c r="I15" s="83">
        <f t="shared" si="1"/>
        <v>480.12602107825865</v>
      </c>
      <c r="J15" s="94">
        <f t="shared" si="1"/>
        <v>-61.126021078258631</v>
      </c>
      <c r="K15" s="82">
        <f t="shared" si="1"/>
        <v>440</v>
      </c>
      <c r="L15" s="83">
        <f t="shared" si="1"/>
        <v>482.83469477101153</v>
      </c>
      <c r="M15" s="94">
        <f t="shared" si="1"/>
        <v>-42.834694771011513</v>
      </c>
      <c r="N15" s="82">
        <f t="shared" si="1"/>
        <v>0</v>
      </c>
      <c r="O15" s="83">
        <f t="shared" si="1"/>
        <v>485.54336846376441</v>
      </c>
      <c r="P15" s="94">
        <f t="shared" si="1"/>
        <v>-485.54336846376441</v>
      </c>
    </row>
    <row r="16" spans="1:16" ht="15" customHeight="1" x14ac:dyDescent="0.25">
      <c r="A16" s="9" t="s">
        <v>14</v>
      </c>
      <c r="B16" s="90">
        <f>'WK1'!E16</f>
        <v>226</v>
      </c>
      <c r="C16" s="91">
        <f>[2]Sheet1!$G13+([2]Sheet1!$J13/53)</f>
        <v>206.09448911383754</v>
      </c>
      <c r="D16" s="93">
        <f>IF(AND(C16=0,B16=0),"Missing Values",B16-C16)</f>
        <v>19.90551088616246</v>
      </c>
      <c r="E16" s="90">
        <f>'WK2 '!E16</f>
        <v>226</v>
      </c>
      <c r="F16" s="91">
        <f>[2]Sheet1!$G13+([2]Sheet1!$J13/53 *2)</f>
        <v>207.18897822767508</v>
      </c>
      <c r="G16" s="93">
        <f>IF(AND(F16=0,E16=0),"Missing Values",E16-F16)</f>
        <v>18.811021772324921</v>
      </c>
      <c r="H16" s="90">
        <f>'WK3'!E16</f>
        <v>176</v>
      </c>
      <c r="I16" s="91">
        <f>[2]Sheet1!$G13+([2]Sheet1!$J13/53 *3)</f>
        <v>208.28346734151265</v>
      </c>
      <c r="J16" s="93">
        <f>IF(AND(I16=0,H16=0),"Missing Values",H16-I16)</f>
        <v>-32.283467341512647</v>
      </c>
      <c r="K16" s="90">
        <f>'WK4'!E16</f>
        <v>234</v>
      </c>
      <c r="L16" s="91">
        <f>[2]Sheet1!$G13+([2]Sheet1!$J13/53 *4)</f>
        <v>209.37795645535019</v>
      </c>
      <c r="M16" s="93">
        <f>IF(AND(L16=0,K16=0),"Missing Values",K16-L16)</f>
        <v>24.622043544649813</v>
      </c>
      <c r="N16" s="90">
        <f>'WK5'!E16</f>
        <v>0</v>
      </c>
      <c r="O16" s="91">
        <f>[2]Sheet1!$G13+([2]Sheet1!$J13/53 *5)</f>
        <v>210.47244556918773</v>
      </c>
      <c r="P16" s="93">
        <f>IF(AND(O16=0,N16=0),"Missing Values",N16-O16)</f>
        <v>-210.47244556918773</v>
      </c>
    </row>
    <row r="17" spans="1:16" x14ac:dyDescent="0.25">
      <c r="A17" s="9" t="s">
        <v>15</v>
      </c>
      <c r="B17" s="90">
        <f>'WK1'!E17</f>
        <v>261</v>
      </c>
      <c r="C17" s="91">
        <f>[2]Sheet1!$G14+([2]Sheet1!$J14/53)</f>
        <v>304.61770829996476</v>
      </c>
      <c r="D17" s="93">
        <f>IF(AND(C17=0,B17=0),"Missing Values",B17-C17)</f>
        <v>-43.617708299964761</v>
      </c>
      <c r="E17" s="90">
        <f>'WK2 '!E17</f>
        <v>261</v>
      </c>
      <c r="F17" s="91">
        <f>[2]Sheet1!$G14+([2]Sheet1!$J14/53 *2)</f>
        <v>306.23541659992952</v>
      </c>
      <c r="G17" s="93">
        <f>IF(AND(F17=0,E17=0),"Missing Values",E17-F17)</f>
        <v>-45.235416599929522</v>
      </c>
      <c r="H17" s="90">
        <f>'WK3'!E17</f>
        <v>232</v>
      </c>
      <c r="I17" s="91">
        <f>[2]Sheet1!$G14+([2]Sheet1!$J14/53 *3)</f>
        <v>307.85312489989428</v>
      </c>
      <c r="J17" s="93">
        <f>IF(AND(I17=0,H17=0),"Missing Values",H17-I17)</f>
        <v>-75.853124899894283</v>
      </c>
      <c r="K17" s="90">
        <f>'WK4'!E17</f>
        <v>257</v>
      </c>
      <c r="L17" s="91">
        <f>[2]Sheet1!$G14+([2]Sheet1!$J14/53 *4)</f>
        <v>309.47083319985904</v>
      </c>
      <c r="M17" s="93">
        <f>IF(AND(L17=0,K17=0),"Missing Values",K17-L17)</f>
        <v>-52.470833199859044</v>
      </c>
      <c r="N17" s="90">
        <f>'WK5'!E17</f>
        <v>0</v>
      </c>
      <c r="O17" s="91">
        <f>[2]Sheet1!$G14+([2]Sheet1!$J14/53 *5)</f>
        <v>311.0885414998238</v>
      </c>
      <c r="P17" s="93">
        <f>IF(AND(O17=0,N17=0),"Missing Values",N17-O17)</f>
        <v>-311.0885414998238</v>
      </c>
    </row>
    <row r="18" spans="1:16" x14ac:dyDescent="0.25">
      <c r="A18" s="9" t="s">
        <v>16</v>
      </c>
      <c r="B18" s="90">
        <f>'WK1'!E18</f>
        <v>42</v>
      </c>
      <c r="C18" s="91">
        <f>[2]Sheet1!$G15+([2]Sheet1!$J15/53)</f>
        <v>57.304321363359705</v>
      </c>
      <c r="D18" s="93">
        <f>IF(AND(C18=0,B18=0),"Missing Values",B18-C18)</f>
        <v>-15.304321363359705</v>
      </c>
      <c r="E18" s="90">
        <f>'WK2 '!E18</f>
        <v>42</v>
      </c>
      <c r="F18" s="91">
        <f>[2]Sheet1!$G15+([2]Sheet1!$J15/53 *2)</f>
        <v>57.608642726719417</v>
      </c>
      <c r="G18" s="93">
        <f>IF(AND(F18=0,E18=0),"Missing Values",E18-F18)</f>
        <v>-15.608642726719417</v>
      </c>
      <c r="H18" s="90">
        <f>'WK3'!E18</f>
        <v>48</v>
      </c>
      <c r="I18" s="91">
        <f>[2]Sheet1!$G15+([2]Sheet1!$J15/53 *3)</f>
        <v>57.912964090079122</v>
      </c>
      <c r="J18" s="93">
        <f>IF(AND(I18=0,H18=0),"Missing Values",H18-I18)</f>
        <v>-9.9129640900791216</v>
      </c>
      <c r="K18" s="90">
        <f>'WK4'!E18</f>
        <v>59</v>
      </c>
      <c r="L18" s="91">
        <f>[2]Sheet1!$G15+([2]Sheet1!$J15/53 *4)</f>
        <v>58.217285453438834</v>
      </c>
      <c r="M18" s="93">
        <f>IF(AND(L18=0,K18=0),"Missing Values",K18-L18)</f>
        <v>0.78271454656116646</v>
      </c>
      <c r="N18" s="90">
        <f>'WK5'!E18</f>
        <v>0</v>
      </c>
      <c r="O18" s="91">
        <f>[2]Sheet1!$G15+([2]Sheet1!$J15/53 *5)</f>
        <v>58.521606816798538</v>
      </c>
      <c r="P18" s="93">
        <f>IF(AND(O18=0,N18=0),"Missing Values",N18-O18)</f>
        <v>-58.521606816798538</v>
      </c>
    </row>
    <row r="19" spans="1:16" x14ac:dyDescent="0.25">
      <c r="A19" s="9" t="s">
        <v>17</v>
      </c>
      <c r="B19" s="90">
        <f>'WK1'!E19</f>
        <v>15</v>
      </c>
      <c r="C19" s="91">
        <f>[2]Sheet1!$G16+([2]Sheet1!$J16/53)</f>
        <v>14.263424843301193</v>
      </c>
      <c r="D19" s="93">
        <f>IF(AND(C19=0,B19=0),"Missing Values",B19-C19)</f>
        <v>0.73657515669880702</v>
      </c>
      <c r="E19" s="90">
        <f>'WK2 '!E19</f>
        <v>15</v>
      </c>
      <c r="F19" s="91">
        <f>[2]Sheet1!$G16+([2]Sheet1!$J16/53 *2)</f>
        <v>14.526849686602386</v>
      </c>
      <c r="G19" s="93">
        <f>IF(AND(F19=0,E19=0),"Missing Values",E19-F19)</f>
        <v>0.47315031339761404</v>
      </c>
      <c r="H19" s="90">
        <f>'WK3'!E19</f>
        <v>12</v>
      </c>
      <c r="I19" s="91">
        <f>[2]Sheet1!$G16+([2]Sheet1!$J16/53 *3)</f>
        <v>14.790274529903579</v>
      </c>
      <c r="J19" s="93">
        <f>IF(AND(I19=0,H19=0),"Missing Values",H19-I19)</f>
        <v>-2.7902745299035789</v>
      </c>
      <c r="K19" s="90">
        <f>'WK4'!E19</f>
        <v>9</v>
      </c>
      <c r="L19" s="91">
        <f>[2]Sheet1!$G16+([2]Sheet1!$J16/53 *4)</f>
        <v>15.053699373204772</v>
      </c>
      <c r="M19" s="93">
        <f>IF(AND(L19=0,K19=0),"Missing Values",K19-L19)</f>
        <v>-6.0536993732047719</v>
      </c>
      <c r="N19" s="90">
        <f>'WK5'!E19</f>
        <v>0</v>
      </c>
      <c r="O19" s="91">
        <f>[2]Sheet1!$G16+([2]Sheet1!$J16/53 *5)</f>
        <v>15.317124216505963</v>
      </c>
      <c r="P19" s="93">
        <f>IF(AND(O19=0,N19=0),"Missing Values",N19-O19)</f>
        <v>-15.317124216505963</v>
      </c>
    </row>
    <row r="20" spans="1:16" x14ac:dyDescent="0.25">
      <c r="A20" s="9" t="s">
        <v>18</v>
      </c>
      <c r="B20" s="90">
        <f>'WK1'!E20</f>
        <v>37</v>
      </c>
      <c r="C20" s="91">
        <f>[2]Sheet1!$G17+([2]Sheet1!$J17/53)</f>
        <v>85.453812559396056</v>
      </c>
      <c r="D20" s="93">
        <f>IF(AND(C20=0,B20=0),"Missing Values",B20-C20)</f>
        <v>-48.453812559396056</v>
      </c>
      <c r="E20" s="90">
        <f>'WK2 '!E20</f>
        <v>37</v>
      </c>
      <c r="F20" s="91">
        <f>[2]Sheet1!$G17+([2]Sheet1!$J17/53 *2)</f>
        <v>85.907625118792112</v>
      </c>
      <c r="G20" s="93">
        <f>IF(AND(F20=0,E20=0),"Missing Values",E20-F20)</f>
        <v>-48.907625118792112</v>
      </c>
      <c r="H20" s="90">
        <f>'WK3'!E20</f>
        <v>109</v>
      </c>
      <c r="I20" s="91">
        <f>[2]Sheet1!$G17+([2]Sheet1!$J17/53 *3)</f>
        <v>86.361437678188167</v>
      </c>
      <c r="J20" s="93">
        <f>IF(AND(I20=0,H20=0),"Missing Values",H20-I20)</f>
        <v>22.638562321811833</v>
      </c>
      <c r="K20" s="90">
        <f>'WK4'!E20</f>
        <v>0</v>
      </c>
      <c r="L20" s="91">
        <f>[2]Sheet1!$G17+([2]Sheet1!$J17/53 *4)</f>
        <v>86.815250237584223</v>
      </c>
      <c r="M20" s="93">
        <f>IF(AND(L20=0,K20=0),"Missing Values",K20-L20)</f>
        <v>-86.815250237584223</v>
      </c>
      <c r="N20" s="90">
        <f>'WK5'!E20</f>
        <v>0</v>
      </c>
      <c r="O20" s="91">
        <f>[2]Sheet1!$G17+([2]Sheet1!$J17/53 *5)</f>
        <v>87.269062796980279</v>
      </c>
      <c r="P20" s="93">
        <f>IF(AND(O20=0,N20=0),"Missing Values",N20-O20)</f>
        <v>-87.269062796980279</v>
      </c>
    </row>
    <row r="21" spans="1:16" x14ac:dyDescent="0.25">
      <c r="A21" s="233"/>
      <c r="B21" s="82">
        <f t="shared" ref="B21:P21" si="2">SUM(B16:B20)</f>
        <v>581</v>
      </c>
      <c r="C21" s="83">
        <f t="shared" si="2"/>
        <v>667.73375617985926</v>
      </c>
      <c r="D21" s="94">
        <f t="shared" si="2"/>
        <v>-86.733756179859256</v>
      </c>
      <c r="E21" s="82">
        <f t="shared" si="2"/>
        <v>581</v>
      </c>
      <c r="F21" s="83">
        <f t="shared" si="2"/>
        <v>671.46751235971851</v>
      </c>
      <c r="G21" s="94">
        <f t="shared" si="2"/>
        <v>-90.467512359718512</v>
      </c>
      <c r="H21" s="82">
        <f t="shared" si="2"/>
        <v>577</v>
      </c>
      <c r="I21" s="83">
        <f t="shared" si="2"/>
        <v>675.20126853957777</v>
      </c>
      <c r="J21" s="94">
        <f t="shared" si="2"/>
        <v>-98.201268539577811</v>
      </c>
      <c r="K21" s="82">
        <f t="shared" si="2"/>
        <v>559</v>
      </c>
      <c r="L21" s="83">
        <f t="shared" si="2"/>
        <v>678.93502471943702</v>
      </c>
      <c r="M21" s="94">
        <f t="shared" si="2"/>
        <v>-119.93502471943705</v>
      </c>
      <c r="N21" s="82">
        <f t="shared" si="2"/>
        <v>0</v>
      </c>
      <c r="O21" s="83">
        <f t="shared" si="2"/>
        <v>682.66878089929628</v>
      </c>
      <c r="P21" s="94">
        <f t="shared" si="2"/>
        <v>-682.66878089929628</v>
      </c>
    </row>
    <row r="22" spans="1:16" ht="15" customHeight="1" x14ac:dyDescent="0.25">
      <c r="A22" s="9" t="s">
        <v>19</v>
      </c>
      <c r="B22" s="90">
        <f>'WK1'!E22</f>
        <v>106</v>
      </c>
      <c r="C22" s="91">
        <f>[2]Sheet1!$G19+([2]Sheet1!$J19/53)</f>
        <v>134.71542215245967</v>
      </c>
      <c r="D22" s="93">
        <f>IF(AND(C22=0,B22=0),"Missing Values",B22-C22)</f>
        <v>-28.715422152459666</v>
      </c>
      <c r="E22" s="90">
        <f>'WK2 '!E22</f>
        <v>106</v>
      </c>
      <c r="F22" s="91">
        <f>[2]Sheet1!$G19+([2]Sheet1!$J19/53 *2)</f>
        <v>135.43084430491933</v>
      </c>
      <c r="G22" s="93">
        <f>IF(AND(F22=0,E22=0),"Missing Values",E22-F22)</f>
        <v>-29.430844304919333</v>
      </c>
      <c r="H22" s="90">
        <f>'WK3'!E22</f>
        <v>105</v>
      </c>
      <c r="I22" s="91">
        <f>[2]Sheet1!$G19+([2]Sheet1!$J19/53 *3)</f>
        <v>136.146266457379</v>
      </c>
      <c r="J22" s="93">
        <f>IF(AND(I22=0,H22=0),"Missing Values",H22-I22)</f>
        <v>-31.146266457378999</v>
      </c>
      <c r="K22" s="90">
        <f>'WK4'!E22</f>
        <v>97</v>
      </c>
      <c r="L22" s="91">
        <f>[2]Sheet1!$G19+([2]Sheet1!$J19/53 *4)</f>
        <v>136.86168860983867</v>
      </c>
      <c r="M22" s="93">
        <f>IF(AND(L22=0,K22=0),"Missing Values",K22-L22)</f>
        <v>-39.861688609838666</v>
      </c>
      <c r="N22" s="90">
        <f>'WK5'!E22</f>
        <v>0</v>
      </c>
      <c r="O22" s="91">
        <f>[2]Sheet1!$G19+([2]Sheet1!$J19/53 *5)</f>
        <v>137.57711076229833</v>
      </c>
      <c r="P22" s="93">
        <f>IF(AND(O22=0,N22=0),"Missing Values",N22-O22)</f>
        <v>-137.57711076229833</v>
      </c>
    </row>
    <row r="23" spans="1:16" x14ac:dyDescent="0.25">
      <c r="A23" s="9" t="s">
        <v>20</v>
      </c>
      <c r="B23" s="90">
        <f>'WK1'!E23</f>
        <v>0</v>
      </c>
      <c r="C23" s="91">
        <f>[2]Sheet1!$G20+([2]Sheet1!$J20/53)</f>
        <v>37.197541937619462</v>
      </c>
      <c r="D23" s="93">
        <f>IF(AND(C23=0,B23=0),"Missing Values",B23-C23)</f>
        <v>-37.197541937619462</v>
      </c>
      <c r="E23" s="90">
        <f>'WK2 '!E23</f>
        <v>0</v>
      </c>
      <c r="F23" s="91">
        <f>[2]Sheet1!$G20+([2]Sheet1!$J20/53 *2)</f>
        <v>37.395083875238917</v>
      </c>
      <c r="G23" s="93">
        <f>IF(AND(F23=0,E23=0),"Missing Values",E23-F23)</f>
        <v>-37.395083875238917</v>
      </c>
      <c r="H23" s="90">
        <f>'WK3'!E23</f>
        <v>0</v>
      </c>
      <c r="I23" s="91">
        <f>[2]Sheet1!$G20+([2]Sheet1!$J20/53 *3)</f>
        <v>37.59262581285838</v>
      </c>
      <c r="J23" s="93">
        <f>IF(AND(I23=0,H23=0),"Missing Values",H23-I23)</f>
        <v>-37.59262581285838</v>
      </c>
      <c r="K23" s="90">
        <f>'WK4'!E23</f>
        <v>0</v>
      </c>
      <c r="L23" s="91">
        <f>[2]Sheet1!$G20+([2]Sheet1!$J20/53 *4)</f>
        <v>37.790167750477835</v>
      </c>
      <c r="M23" s="93">
        <f>IF(AND(L23=0,K23=0),"Missing Values",K23-L23)</f>
        <v>-37.790167750477835</v>
      </c>
      <c r="N23" s="90">
        <f>'WK5'!E23</f>
        <v>0</v>
      </c>
      <c r="O23" s="91">
        <f>[2]Sheet1!$G20+([2]Sheet1!$J20/53 *5)</f>
        <v>37.987709688097297</v>
      </c>
      <c r="P23" s="93">
        <f>IF(AND(O23=0,N23=0),"Missing Values",N23-O23)</f>
        <v>-37.987709688097297</v>
      </c>
    </row>
    <row r="24" spans="1:16" x14ac:dyDescent="0.25">
      <c r="A24" s="9" t="s">
        <v>21</v>
      </c>
      <c r="B24" s="90">
        <f>'WK1'!E24</f>
        <v>158</v>
      </c>
      <c r="C24" s="91">
        <f>[2]Sheet1!$G21+([2]Sheet1!$J21/53)</f>
        <v>224.19059059700376</v>
      </c>
      <c r="D24" s="93">
        <f>IF(AND(C24=0,B24=0),"Missing Values",B24-C24)</f>
        <v>-66.190590597003762</v>
      </c>
      <c r="E24" s="90">
        <f>'WK2 '!E24</f>
        <v>158</v>
      </c>
      <c r="F24" s="91">
        <f>[2]Sheet1!$G21+([2]Sheet1!$J21/53 *2)</f>
        <v>225.38118119400752</v>
      </c>
      <c r="G24" s="93">
        <f>IF(AND(F24=0,E24=0),"Missing Values",E24-F24)</f>
        <v>-67.381181194007524</v>
      </c>
      <c r="H24" s="90">
        <f>'WK3'!E24</f>
        <v>195</v>
      </c>
      <c r="I24" s="91">
        <f>[2]Sheet1!$G21+([2]Sheet1!$J21/53 *3)</f>
        <v>226.57177179101132</v>
      </c>
      <c r="J24" s="93">
        <f>IF(AND(I24=0,H24=0),"Missing Values",H24-I24)</f>
        <v>-31.571771791011315</v>
      </c>
      <c r="K24" s="90">
        <f>'WK4'!E24</f>
        <v>169</v>
      </c>
      <c r="L24" s="91">
        <f>[2]Sheet1!$G21+([2]Sheet1!$J21/53 *4)</f>
        <v>227.76236238801508</v>
      </c>
      <c r="M24" s="93">
        <f>IF(AND(L24=0,K24=0),"Missing Values",K24-L24)</f>
        <v>-58.762362388015077</v>
      </c>
      <c r="N24" s="90">
        <f>'WK5'!E24</f>
        <v>0</v>
      </c>
      <c r="O24" s="91">
        <f>[2]Sheet1!$G21+([2]Sheet1!$J21/53 *5)</f>
        <v>228.95295298501884</v>
      </c>
      <c r="P24" s="93">
        <f>IF(AND(O24=0,N24=0),"Missing Values",N24-O24)</f>
        <v>-228.95295298501884</v>
      </c>
    </row>
    <row r="25" spans="1:16" x14ac:dyDescent="0.25">
      <c r="A25" s="9" t="s">
        <v>109</v>
      </c>
      <c r="B25" s="90">
        <f>'WK1'!E25</f>
        <v>27</v>
      </c>
      <c r="C25" s="91">
        <f>[2]Sheet1!$G22+([2]Sheet1!$J22/53)</f>
        <v>29.34350941260638</v>
      </c>
      <c r="D25" s="93">
        <f>IF(AND(C25=0,B25=0),"Missing Values",B25-C25)</f>
        <v>-2.3435094126063802</v>
      </c>
      <c r="E25" s="90">
        <f>'WK2 '!E25</f>
        <v>27</v>
      </c>
      <c r="F25" s="91">
        <f>[2]Sheet1!$G22+([2]Sheet1!$J22/53 *2)</f>
        <v>29.687018825212757</v>
      </c>
      <c r="G25" s="93">
        <f>IF(AND(F25=0,E25=0),"Missing Values",E25-F25)</f>
        <v>-2.6870188252127569</v>
      </c>
      <c r="H25" s="90">
        <f>'WK3'!E25</f>
        <v>18</v>
      </c>
      <c r="I25" s="91">
        <f>[2]Sheet1!$G22+([2]Sheet1!$J22/53 *3)</f>
        <v>30.030528237819137</v>
      </c>
      <c r="J25" s="93">
        <f>IF(AND(I25=0,H25=0),"Missing Values",H25-I25)</f>
        <v>-12.030528237819137</v>
      </c>
      <c r="K25" s="90">
        <f>'WK4'!E25</f>
        <v>32</v>
      </c>
      <c r="L25" s="91">
        <f>[2]Sheet1!$G22+([2]Sheet1!$J22/53 *4)</f>
        <v>30.374037650425517</v>
      </c>
      <c r="M25" s="93">
        <f>IF(AND(L25=0,K25=0),"Missing Values",K25-L25)</f>
        <v>1.6259623495744826</v>
      </c>
      <c r="N25" s="90">
        <f>'WK5'!E25</f>
        <v>0</v>
      </c>
      <c r="O25" s="91">
        <f>[2]Sheet1!$G22+([2]Sheet1!$J22/53 *5)</f>
        <v>30.717547063031894</v>
      </c>
      <c r="P25" s="93">
        <f>IF(AND(O25=0,N25=0),"Missing Values",N25-O25)</f>
        <v>-30.717547063031894</v>
      </c>
    </row>
    <row r="26" spans="1:16" x14ac:dyDescent="0.25">
      <c r="A26" s="233"/>
      <c r="B26" s="82">
        <f t="shared" ref="B26:P26" si="3">SUM(B22:B25)</f>
        <v>291</v>
      </c>
      <c r="C26" s="83">
        <f t="shared" si="3"/>
        <v>425.44706409968933</v>
      </c>
      <c r="D26" s="94">
        <f t="shared" si="3"/>
        <v>-134.44706409968927</v>
      </c>
      <c r="E26" s="82">
        <f t="shared" si="3"/>
        <v>291</v>
      </c>
      <c r="F26" s="83">
        <f t="shared" si="3"/>
        <v>427.89412819937854</v>
      </c>
      <c r="G26" s="94">
        <f t="shared" si="3"/>
        <v>-136.89412819937854</v>
      </c>
      <c r="H26" s="82">
        <f t="shared" si="3"/>
        <v>318</v>
      </c>
      <c r="I26" s="83">
        <f t="shared" si="3"/>
        <v>430.34119229906781</v>
      </c>
      <c r="J26" s="94">
        <f t="shared" si="3"/>
        <v>-112.34119229906784</v>
      </c>
      <c r="K26" s="82">
        <f t="shared" si="3"/>
        <v>298</v>
      </c>
      <c r="L26" s="83">
        <f t="shared" si="3"/>
        <v>432.78825639875708</v>
      </c>
      <c r="M26" s="94">
        <f t="shared" si="3"/>
        <v>-134.78825639875708</v>
      </c>
      <c r="N26" s="82">
        <f t="shared" si="3"/>
        <v>0</v>
      </c>
      <c r="O26" s="83">
        <f t="shared" si="3"/>
        <v>435.23532049844636</v>
      </c>
      <c r="P26" s="94">
        <f t="shared" si="3"/>
        <v>-435.23532049844636</v>
      </c>
    </row>
    <row r="27" spans="1:16" ht="15" customHeight="1" x14ac:dyDescent="0.25">
      <c r="A27" s="9" t="s">
        <v>108</v>
      </c>
      <c r="B27" s="90">
        <f>'WK1'!E27</f>
        <v>114</v>
      </c>
      <c r="C27" s="91">
        <f>[2]Sheet1!$G24+([2]Sheet1!$J24/53)</f>
        <v>90.480507415831113</v>
      </c>
      <c r="D27" s="93">
        <f>IF(AND(C27=0,B27=0),"Missing Values",B27-C27)</f>
        <v>23.519492584168887</v>
      </c>
      <c r="E27" s="90">
        <f>'WK2 '!E27</f>
        <v>114</v>
      </c>
      <c r="F27" s="91">
        <f>[2]Sheet1!$G24+([2]Sheet1!$J24/53 *2)</f>
        <v>90.96101483166224</v>
      </c>
      <c r="G27" s="93">
        <f>IF(AND(F27=0,E27=0),"Missing Values",E27-F27)</f>
        <v>23.03898516833776</v>
      </c>
      <c r="H27" s="90">
        <f>'WK3'!E27</f>
        <v>92</v>
      </c>
      <c r="I27" s="91">
        <f>[2]Sheet1!$G24+([2]Sheet1!$J24/53 *3)</f>
        <v>91.441522247493353</v>
      </c>
      <c r="J27" s="93">
        <f>IF(AND(I27=0,H27=0),"Missing Values",H27-I27)</f>
        <v>0.55847775250664711</v>
      </c>
      <c r="K27" s="90">
        <f>'WK4'!E27</f>
        <v>98</v>
      </c>
      <c r="L27" s="91">
        <f>[2]Sheet1!$G24+([2]Sheet1!$J24/53 *4)</f>
        <v>91.922029663324466</v>
      </c>
      <c r="M27" s="93">
        <f>IF(AND(L27=0,K27=0),"Missing Values",K27-L27)</f>
        <v>6.0779703366755342</v>
      </c>
      <c r="N27" s="90">
        <f>'WK5'!E27</f>
        <v>0</v>
      </c>
      <c r="O27" s="91">
        <f>[2]Sheet1!$G24+([2]Sheet1!$J24/53 *5)</f>
        <v>92.402537079155593</v>
      </c>
      <c r="P27" s="93">
        <f t="shared" ref="P27:P35" si="4">IF(AND(O27=0,N27=0),"Missing Values",N27-O27)</f>
        <v>-92.402537079155593</v>
      </c>
    </row>
    <row r="28" spans="1:16" x14ac:dyDescent="0.25">
      <c r="A28" s="9" t="s">
        <v>22</v>
      </c>
      <c r="B28" s="90">
        <f>'WK1'!E28</f>
        <v>35</v>
      </c>
      <c r="C28" s="91">
        <f>[2]Sheet1!$G25+([2]Sheet1!$J25/53)</f>
        <v>55.293643420785685</v>
      </c>
      <c r="D28" s="93">
        <f t="shared" ref="D28:D35" si="5">IF(AND(C28=0,B28=0),"Missing Values",B28-C28)</f>
        <v>-20.293643420785685</v>
      </c>
      <c r="E28" s="90">
        <f>'WK2 '!E28</f>
        <v>35</v>
      </c>
      <c r="F28" s="91">
        <f>[2]Sheet1!$G25+([2]Sheet1!$J25/53 *2)</f>
        <v>55.587286841571363</v>
      </c>
      <c r="G28" s="93">
        <f t="shared" ref="G28:G35" si="6">IF(AND(F28=0,E28=0),"Missing Values",E28-F28)</f>
        <v>-20.587286841571363</v>
      </c>
      <c r="H28" s="90">
        <f>'WK3'!E28</f>
        <v>33</v>
      </c>
      <c r="I28" s="91">
        <f>[2]Sheet1!$G25+([2]Sheet1!$J25/53 *3)</f>
        <v>55.880930262357047</v>
      </c>
      <c r="J28" s="93">
        <f t="shared" ref="J28:J35" si="7">IF(AND(I28=0,H28=0),"Missing Values",H28-I28)</f>
        <v>-22.880930262357047</v>
      </c>
      <c r="K28" s="90">
        <f>'WK4'!E28</f>
        <v>38</v>
      </c>
      <c r="L28" s="91">
        <f>[2]Sheet1!$G25+([2]Sheet1!$J25/53 *4)</f>
        <v>56.174573683142732</v>
      </c>
      <c r="M28" s="93">
        <f t="shared" ref="M28:M35" si="8">IF(AND(L28=0,K28=0),"Missing Values",K28-L28)</f>
        <v>-18.174573683142732</v>
      </c>
      <c r="N28" s="90">
        <f>'WK5'!E28</f>
        <v>0</v>
      </c>
      <c r="O28" s="91">
        <f>[2]Sheet1!$G25+([2]Sheet1!$J25/53 *5)</f>
        <v>56.468217103928417</v>
      </c>
      <c r="P28" s="93">
        <f t="shared" si="4"/>
        <v>-56.468217103928417</v>
      </c>
    </row>
    <row r="29" spans="1:16" x14ac:dyDescent="0.25">
      <c r="A29" s="9" t="s">
        <v>23</v>
      </c>
      <c r="B29" s="90">
        <f>'WK1'!E29</f>
        <v>117</v>
      </c>
      <c r="C29" s="91">
        <f>[2]Sheet1!$G26+([2]Sheet1!$J26/53)</f>
        <v>130.69406626731163</v>
      </c>
      <c r="D29" s="93">
        <f t="shared" si="5"/>
        <v>-13.694066267311626</v>
      </c>
      <c r="E29" s="90">
        <f>'WK2 '!E29</f>
        <v>117</v>
      </c>
      <c r="F29" s="91">
        <f>[2]Sheet1!$G26+([2]Sheet1!$J26/53 *2)</f>
        <v>131.38813253462322</v>
      </c>
      <c r="G29" s="93">
        <f t="shared" si="6"/>
        <v>-14.388132534623225</v>
      </c>
      <c r="H29" s="90">
        <f>'WK3'!E29</f>
        <v>120</v>
      </c>
      <c r="I29" s="91">
        <f>[2]Sheet1!$G26+([2]Sheet1!$J26/53 *3)</f>
        <v>132.08219880193485</v>
      </c>
      <c r="J29" s="93">
        <f t="shared" si="7"/>
        <v>-12.082198801934851</v>
      </c>
      <c r="K29" s="90">
        <f>'WK4'!E29</f>
        <v>116</v>
      </c>
      <c r="L29" s="91">
        <f>[2]Sheet1!$G26+([2]Sheet1!$J26/53 *4)</f>
        <v>132.77626506924645</v>
      </c>
      <c r="M29" s="93">
        <f t="shared" si="8"/>
        <v>-16.776265069246449</v>
      </c>
      <c r="N29" s="90">
        <f>'WK5'!E29</f>
        <v>0</v>
      </c>
      <c r="O29" s="91">
        <f>[2]Sheet1!$G26+([2]Sheet1!$J26/53 *5)</f>
        <v>133.47033133655808</v>
      </c>
      <c r="P29" s="93">
        <f t="shared" si="4"/>
        <v>-133.47033133655808</v>
      </c>
    </row>
    <row r="30" spans="1:16" x14ac:dyDescent="0.25">
      <c r="A30" s="9" t="s">
        <v>24</v>
      </c>
      <c r="B30" s="90">
        <f>'WK1'!E30</f>
        <v>109</v>
      </c>
      <c r="C30" s="91">
        <f>[2]Sheet1!$G27+([2]Sheet1!$J27/53)</f>
        <v>102.54457507127526</v>
      </c>
      <c r="D30" s="93">
        <f t="shared" si="5"/>
        <v>6.4554249287247387</v>
      </c>
      <c r="E30" s="90">
        <f>'WK2 '!E30</f>
        <v>109</v>
      </c>
      <c r="F30" s="91">
        <f>[2]Sheet1!$G27+([2]Sheet1!$J27/53 *2)</f>
        <v>103.08915014255054</v>
      </c>
      <c r="G30" s="93">
        <f t="shared" si="6"/>
        <v>5.9108498574494632</v>
      </c>
      <c r="H30" s="90">
        <f>'WK3'!E30</f>
        <v>70</v>
      </c>
      <c r="I30" s="91">
        <f>[2]Sheet1!$G27+([2]Sheet1!$J27/53 *3)</f>
        <v>103.6337252138258</v>
      </c>
      <c r="J30" s="93">
        <f t="shared" si="7"/>
        <v>-33.633725213825798</v>
      </c>
      <c r="K30" s="90">
        <f>'WK4'!E30</f>
        <v>77</v>
      </c>
      <c r="L30" s="91">
        <f>[2]Sheet1!$G27+([2]Sheet1!$J27/53 *4)</f>
        <v>104.17830028510107</v>
      </c>
      <c r="M30" s="93">
        <f t="shared" si="8"/>
        <v>-27.178300285101074</v>
      </c>
      <c r="N30" s="90">
        <f>'WK5'!E30</f>
        <v>0</v>
      </c>
      <c r="O30" s="91">
        <f>[2]Sheet1!$G27+([2]Sheet1!$J27/53 *5)</f>
        <v>104.72287535637633</v>
      </c>
      <c r="P30" s="93">
        <f t="shared" si="4"/>
        <v>-104.72287535637633</v>
      </c>
    </row>
    <row r="31" spans="1:16" x14ac:dyDescent="0.25">
      <c r="A31" s="9" t="s">
        <v>106</v>
      </c>
      <c r="B31" s="90">
        <f>'WK1'!E31</f>
        <v>44</v>
      </c>
      <c r="C31" s="91">
        <f>[2]Sheet1!$G28+([2]Sheet1!$J28/53)</f>
        <v>93.49652432969215</v>
      </c>
      <c r="D31" s="93">
        <f t="shared" si="5"/>
        <v>-49.49652432969215</v>
      </c>
      <c r="E31" s="90">
        <f>'WK2 '!E31</f>
        <v>44</v>
      </c>
      <c r="F31" s="91">
        <f>[2]Sheet1!$G28+([2]Sheet1!$J28/53 *2)</f>
        <v>93.993048659384314</v>
      </c>
      <c r="G31" s="93">
        <f t="shared" si="6"/>
        <v>-49.993048659384314</v>
      </c>
      <c r="H31" s="90">
        <f>'WK3'!E31</f>
        <v>44</v>
      </c>
      <c r="I31" s="91">
        <f>[2]Sheet1!$G28+([2]Sheet1!$J28/53 *3)</f>
        <v>94.489572989076464</v>
      </c>
      <c r="J31" s="93">
        <f t="shared" si="7"/>
        <v>-50.489572989076464</v>
      </c>
      <c r="K31" s="90">
        <f>'WK4'!E31</f>
        <v>39</v>
      </c>
      <c r="L31" s="91">
        <f>[2]Sheet1!$G28+([2]Sheet1!$J28/53 *4)</f>
        <v>94.986097318768614</v>
      </c>
      <c r="M31" s="93">
        <f t="shared" si="8"/>
        <v>-55.986097318768614</v>
      </c>
      <c r="N31" s="90">
        <f>'WK5'!E31</f>
        <v>0</v>
      </c>
      <c r="O31" s="91">
        <f>[2]Sheet1!$G28+([2]Sheet1!$J28/53 *5)</f>
        <v>95.482621648460778</v>
      </c>
      <c r="P31" s="93">
        <f t="shared" si="4"/>
        <v>-95.482621648460778</v>
      </c>
    </row>
    <row r="32" spans="1:16" x14ac:dyDescent="0.25">
      <c r="A32" s="9" t="s">
        <v>25</v>
      </c>
      <c r="B32" s="90">
        <f>'WK1'!E32</f>
        <v>67</v>
      </c>
      <c r="C32" s="91">
        <f>[2]Sheet1!$G29+([2]Sheet1!$J29/53)</f>
        <v>79.421778731673982</v>
      </c>
      <c r="D32" s="93">
        <f t="shared" si="5"/>
        <v>-12.421778731673982</v>
      </c>
      <c r="E32" s="90">
        <f>'WK2 '!E32</f>
        <v>67</v>
      </c>
      <c r="F32" s="91">
        <f>[2]Sheet1!$G29+([2]Sheet1!$J29/53 *2)</f>
        <v>79.843557463347963</v>
      </c>
      <c r="G32" s="93">
        <f t="shared" si="6"/>
        <v>-12.843557463347963</v>
      </c>
      <c r="H32" s="90">
        <f>'WK3'!E32</f>
        <v>67</v>
      </c>
      <c r="I32" s="91">
        <f>[2]Sheet1!$G29+([2]Sheet1!$J29/53 *3)</f>
        <v>80.265336195021945</v>
      </c>
      <c r="J32" s="93">
        <f t="shared" si="7"/>
        <v>-13.265336195021945</v>
      </c>
      <c r="K32" s="90">
        <f>'WK4'!E32</f>
        <v>80</v>
      </c>
      <c r="L32" s="91">
        <f>[2]Sheet1!$G29+([2]Sheet1!$J29/53 *4)</f>
        <v>80.687114926695926</v>
      </c>
      <c r="M32" s="93">
        <f t="shared" si="8"/>
        <v>-0.68711492669592644</v>
      </c>
      <c r="N32" s="90">
        <f>'WK5'!E32</f>
        <v>0</v>
      </c>
      <c r="O32" s="91">
        <f>[2]Sheet1!$G29+([2]Sheet1!$J29/53 *5)</f>
        <v>81.108893658369908</v>
      </c>
      <c r="P32" s="93">
        <f t="shared" si="4"/>
        <v>-81.108893658369908</v>
      </c>
    </row>
    <row r="33" spans="1:16" x14ac:dyDescent="0.25">
      <c r="A33" s="9" t="s">
        <v>26</v>
      </c>
      <c r="B33" s="90">
        <f>'WK1'!E33</f>
        <v>83</v>
      </c>
      <c r="C33" s="91">
        <f>[2]Sheet1!$G30+([2]Sheet1!$J30/53)</f>
        <v>81.432456674248002</v>
      </c>
      <c r="D33" s="93">
        <f t="shared" si="5"/>
        <v>1.5675433257519984</v>
      </c>
      <c r="E33" s="90">
        <f>'WK2 '!E33</f>
        <v>83</v>
      </c>
      <c r="F33" s="91">
        <f>[2]Sheet1!$G30+([2]Sheet1!$J30/53 *2)</f>
        <v>81.864913348496017</v>
      </c>
      <c r="G33" s="93">
        <f t="shared" si="6"/>
        <v>1.1350866515039826</v>
      </c>
      <c r="H33" s="90">
        <f>'WK3'!E33</f>
        <v>77</v>
      </c>
      <c r="I33" s="91">
        <f>[2]Sheet1!$G30+([2]Sheet1!$J30/53 *3)</f>
        <v>82.297370022744019</v>
      </c>
      <c r="J33" s="93">
        <f t="shared" si="7"/>
        <v>-5.297370022744019</v>
      </c>
      <c r="K33" s="90">
        <f>'WK4'!E33</f>
        <v>94</v>
      </c>
      <c r="L33" s="91">
        <f>[2]Sheet1!$G30+([2]Sheet1!$J30/53 *4)</f>
        <v>82.729826696992021</v>
      </c>
      <c r="M33" s="93">
        <f t="shared" si="8"/>
        <v>11.270173303007979</v>
      </c>
      <c r="N33" s="90">
        <f>'WK5'!E33</f>
        <v>0</v>
      </c>
      <c r="O33" s="91">
        <f>[2]Sheet1!$G30+([2]Sheet1!$J30/53 *5)</f>
        <v>83.162283371240022</v>
      </c>
      <c r="P33" s="93">
        <f t="shared" si="4"/>
        <v>-83.162283371240022</v>
      </c>
    </row>
    <row r="34" spans="1:16" x14ac:dyDescent="0.25">
      <c r="A34" s="9" t="s">
        <v>58</v>
      </c>
      <c r="B34" s="90">
        <f>'WK1'!E34</f>
        <v>39</v>
      </c>
      <c r="C34" s="91">
        <f>[2]Sheet1!$G31+([2]Sheet1!$J31/53)</f>
        <v>45.240253707915556</v>
      </c>
      <c r="D34" s="93">
        <f t="shared" si="5"/>
        <v>-6.2402537079155564</v>
      </c>
      <c r="E34" s="90">
        <f>'WK2 '!E34</f>
        <v>39</v>
      </c>
      <c r="F34" s="91">
        <f>[2]Sheet1!$G31+([2]Sheet1!$J31/53 *2)</f>
        <v>45.48050741583112</v>
      </c>
      <c r="G34" s="93">
        <f t="shared" si="6"/>
        <v>-6.48050741583112</v>
      </c>
      <c r="H34" s="90">
        <f>'WK3'!E34</f>
        <v>39</v>
      </c>
      <c r="I34" s="91">
        <f>[2]Sheet1!$G31+([2]Sheet1!$J31/53 *3)</f>
        <v>45.720761123746676</v>
      </c>
      <c r="J34" s="93">
        <f t="shared" si="7"/>
        <v>-6.7207611237466764</v>
      </c>
      <c r="K34" s="90">
        <f>'WK4'!E34</f>
        <v>52</v>
      </c>
      <c r="L34" s="91">
        <f>[2]Sheet1!$G31+([2]Sheet1!$J31/53 *4)</f>
        <v>45.961014831662233</v>
      </c>
      <c r="M34" s="93">
        <f t="shared" si="8"/>
        <v>6.0389851683377671</v>
      </c>
      <c r="N34" s="90">
        <f>'WK5'!E34</f>
        <v>0</v>
      </c>
      <c r="O34" s="91">
        <f>[2]Sheet1!$G31+([2]Sheet1!$J31/53 *5)</f>
        <v>46.201268539577796</v>
      </c>
      <c r="P34" s="93">
        <f t="shared" si="4"/>
        <v>-46.201268539577796</v>
      </c>
    </row>
    <row r="35" spans="1:16" x14ac:dyDescent="0.25">
      <c r="A35" s="9" t="s">
        <v>36</v>
      </c>
      <c r="B35" s="90">
        <f>'WK1'!E35</f>
        <v>18</v>
      </c>
      <c r="C35" s="91">
        <f>[2]Sheet1!$G32+([2]Sheet1!$J32/53)</f>
        <v>25.32215352745833</v>
      </c>
      <c r="D35" s="93">
        <f t="shared" si="5"/>
        <v>-7.3221535274583296</v>
      </c>
      <c r="E35" s="90">
        <f>'WK2 '!E35</f>
        <v>18</v>
      </c>
      <c r="F35" s="91">
        <f>[2]Sheet1!$G32+([2]Sheet1!$J32/53 *2)</f>
        <v>25.644307054916659</v>
      </c>
      <c r="G35" s="93">
        <f t="shared" si="6"/>
        <v>-7.6443070549166592</v>
      </c>
      <c r="H35" s="90">
        <f>'WK3'!E35</f>
        <v>0</v>
      </c>
      <c r="I35" s="91">
        <f>[2]Sheet1!$G32+([2]Sheet1!$J32/53 *3)</f>
        <v>25.966460582374989</v>
      </c>
      <c r="J35" s="93">
        <f t="shared" si="7"/>
        <v>-25.966460582374989</v>
      </c>
      <c r="K35" s="90">
        <f>'WK4'!E35</f>
        <v>23</v>
      </c>
      <c r="L35" s="91">
        <f>[2]Sheet1!$G32+([2]Sheet1!$J32/53 *4)</f>
        <v>26.288614109833318</v>
      </c>
      <c r="M35" s="93">
        <f t="shared" si="8"/>
        <v>-3.2886141098333184</v>
      </c>
      <c r="N35" s="90">
        <f>'WK5'!E35</f>
        <v>0</v>
      </c>
      <c r="O35" s="91">
        <f>[2]Sheet1!$G32+([2]Sheet1!$J32/53 *5)</f>
        <v>26.610767637291648</v>
      </c>
      <c r="P35" s="93">
        <f t="shared" si="4"/>
        <v>-26.610767637291648</v>
      </c>
    </row>
    <row r="36" spans="1:16" x14ac:dyDescent="0.25">
      <c r="A36" s="233"/>
      <c r="B36" s="82">
        <f t="shared" ref="B36:P36" si="9">SUM(B27:B35)</f>
        <v>626</v>
      </c>
      <c r="C36" s="83">
        <f t="shared" si="9"/>
        <v>703.92595914619176</v>
      </c>
      <c r="D36" s="94">
        <f t="shared" si="9"/>
        <v>-77.925959146191701</v>
      </c>
      <c r="E36" s="82">
        <f t="shared" si="9"/>
        <v>626</v>
      </c>
      <c r="F36" s="83">
        <f t="shared" si="9"/>
        <v>707.8519182923834</v>
      </c>
      <c r="G36" s="94">
        <f t="shared" si="9"/>
        <v>-81.851918292383431</v>
      </c>
      <c r="H36" s="82">
        <f t="shared" si="9"/>
        <v>542</v>
      </c>
      <c r="I36" s="83">
        <f t="shared" si="9"/>
        <v>711.77787743857527</v>
      </c>
      <c r="J36" s="94">
        <f t="shared" si="9"/>
        <v>-169.77787743857516</v>
      </c>
      <c r="K36" s="82">
        <f t="shared" si="9"/>
        <v>617</v>
      </c>
      <c r="L36" s="83">
        <f t="shared" si="9"/>
        <v>715.70383658476703</v>
      </c>
      <c r="M36" s="94">
        <f t="shared" si="9"/>
        <v>-98.703836584766847</v>
      </c>
      <c r="N36" s="82">
        <f t="shared" si="9"/>
        <v>0</v>
      </c>
      <c r="O36" s="83">
        <f t="shared" si="9"/>
        <v>719.62979573095868</v>
      </c>
      <c r="P36" s="94">
        <f t="shared" si="9"/>
        <v>-719.62979573095868</v>
      </c>
    </row>
    <row r="37" spans="1:16" ht="15" customHeight="1" x14ac:dyDescent="0.25">
      <c r="A37" s="9" t="s">
        <v>27</v>
      </c>
      <c r="B37" s="90">
        <f>'WK1'!E37</f>
        <v>208</v>
      </c>
      <c r="C37" s="91">
        <f>[2]Sheet1!$G34+([2]Sheet1!$J34/53)</f>
        <v>417.21567308411016</v>
      </c>
      <c r="D37" s="93">
        <f>IF(AND(C37=0,B37=0),"Missing Values",B37-C37)</f>
        <v>-209.21567308411016</v>
      </c>
      <c r="E37" s="90">
        <f>'WK2 '!E37</f>
        <v>208</v>
      </c>
      <c r="F37" s="91">
        <f>[2]Sheet1!$G34+([2]Sheet1!$J34/53 *2)</f>
        <v>419.43134616822033</v>
      </c>
      <c r="G37" s="93">
        <f>IF(AND(F37=0,E37=0),"Missing Values",E37-F37)</f>
        <v>-211.43134616822033</v>
      </c>
      <c r="H37" s="90">
        <f>'WK3'!E37</f>
        <v>0</v>
      </c>
      <c r="I37" s="91">
        <f>[2]Sheet1!$G34+([2]Sheet1!$J34/53 *3)</f>
        <v>421.64701925233044</v>
      </c>
      <c r="J37" s="93">
        <f>IF(AND(I37=0,H37=0),"Missing Values",H37-I37)</f>
        <v>-421.64701925233044</v>
      </c>
      <c r="K37" s="90">
        <f>'WK4'!E37</f>
        <v>0</v>
      </c>
      <c r="L37" s="91">
        <f>[2]Sheet1!$G34+([2]Sheet1!$J34/53 *4)</f>
        <v>423.8626923364406</v>
      </c>
      <c r="M37" s="93">
        <f>IF(AND(L37=0,K37=0),"Missing Values",K37-L37)</f>
        <v>-423.8626923364406</v>
      </c>
      <c r="N37" s="90">
        <f>'WK5'!E37</f>
        <v>0</v>
      </c>
      <c r="O37" s="91">
        <f>[2]Sheet1!$G34+([2]Sheet1!$J34/53 *5)</f>
        <v>426.07836542055077</v>
      </c>
      <c r="P37" s="93">
        <f t="shared" ref="P37:P49" si="10">IF(AND(O37=0,N37=0),"Missing Values",N37-O37)</f>
        <v>-426.07836542055077</v>
      </c>
    </row>
    <row r="38" spans="1:16" x14ac:dyDescent="0.25">
      <c r="A38" s="9" t="s">
        <v>28</v>
      </c>
      <c r="B38" s="90">
        <f>'WK1'!E38</f>
        <v>13</v>
      </c>
      <c r="C38" s="91">
        <f>[2]Sheet1!$G35+([2]Sheet1!$J35/53)</f>
        <v>11.247407929440156</v>
      </c>
      <c r="D38" s="93">
        <f t="shared" ref="D38:D49" si="11">IF(AND(C38=0,B38=0),"Missing Values",B38-C38)</f>
        <v>1.7525920705598441</v>
      </c>
      <c r="E38" s="90">
        <f>'WK2 '!E38</f>
        <v>13</v>
      </c>
      <c r="F38" s="91">
        <f>[2]Sheet1!$G35+([2]Sheet1!$J35/53 *2)</f>
        <v>11.494815858880312</v>
      </c>
      <c r="G38" s="93">
        <f t="shared" ref="G38:G46" si="12">IF(AND(F38=0,E38=0),"Missing Values",E38-F38)</f>
        <v>1.5051841411196882</v>
      </c>
      <c r="H38" s="90">
        <f>'WK3'!E38</f>
        <v>13</v>
      </c>
      <c r="I38" s="91">
        <f>[2]Sheet1!$G35+([2]Sheet1!$J35/53 *3)</f>
        <v>11.742223788320466</v>
      </c>
      <c r="J38" s="93">
        <f t="shared" ref="J38:J45" si="13">IF(AND(I38=0,H38=0),"Missing Values",H38-I38)</f>
        <v>1.2577762116795341</v>
      </c>
      <c r="K38" s="90">
        <f>'WK4'!E38</f>
        <v>21</v>
      </c>
      <c r="L38" s="91">
        <f>[2]Sheet1!$G35+([2]Sheet1!$J35/53 *4)</f>
        <v>11.989631717760622</v>
      </c>
      <c r="M38" s="93">
        <f t="shared" ref="M38:M46" si="14">IF(AND(L38=0,K38=0),"Missing Values",K38-L38)</f>
        <v>9.0103682822393782</v>
      </c>
      <c r="N38" s="90">
        <f>'WK5'!E38</f>
        <v>0</v>
      </c>
      <c r="O38" s="91">
        <f>[2]Sheet1!$G35+([2]Sheet1!$J35/53 *5)</f>
        <v>12.237039647200778</v>
      </c>
      <c r="P38" s="93">
        <f t="shared" si="10"/>
        <v>-12.237039647200778</v>
      </c>
    </row>
    <row r="39" spans="1:16" x14ac:dyDescent="0.25">
      <c r="A39" s="9" t="s">
        <v>62</v>
      </c>
      <c r="B39" s="90">
        <f>'WK1'!E39</f>
        <v>0</v>
      </c>
      <c r="C39" s="91">
        <f>[2]Sheet1!$G36+([2]Sheet1!$J36/53)</f>
        <v>0.18867924528301888</v>
      </c>
      <c r="D39" s="93">
        <f t="shared" si="11"/>
        <v>-0.18867924528301888</v>
      </c>
      <c r="E39" s="90">
        <f>'WK2 '!E39</f>
        <v>0</v>
      </c>
      <c r="F39" s="91">
        <f>[2]Sheet1!$G36+([2]Sheet1!$J36/53 *2)</f>
        <v>0.37735849056603776</v>
      </c>
      <c r="G39" s="93">
        <f t="shared" si="12"/>
        <v>-0.37735849056603776</v>
      </c>
      <c r="H39" s="90">
        <f>'WK3'!E39</f>
        <v>0</v>
      </c>
      <c r="I39" s="91">
        <f>[2]Sheet1!$G36+([2]Sheet1!$J36/53 *3)</f>
        <v>0.5660377358490567</v>
      </c>
      <c r="J39" s="93">
        <f t="shared" si="13"/>
        <v>-0.5660377358490567</v>
      </c>
      <c r="K39" s="90">
        <f>'WK4'!E39</f>
        <v>0</v>
      </c>
      <c r="L39" s="91">
        <f>[2]Sheet1!$G36+([2]Sheet1!$J36/53 *4)</f>
        <v>0.75471698113207553</v>
      </c>
      <c r="M39" s="93">
        <f t="shared" si="14"/>
        <v>-0.75471698113207553</v>
      </c>
      <c r="N39" s="90">
        <f>'WK5'!E39</f>
        <v>0</v>
      </c>
      <c r="O39" s="91">
        <f>[2]Sheet1!$G36+([2]Sheet1!$J36/53 *5)</f>
        <v>0.94339622641509435</v>
      </c>
      <c r="P39" s="93">
        <f t="shared" si="10"/>
        <v>-0.94339622641509435</v>
      </c>
    </row>
    <row r="40" spans="1:16" x14ac:dyDescent="0.25">
      <c r="A40" s="9" t="s">
        <v>29</v>
      </c>
      <c r="B40" s="90">
        <f>'WK1'!E40</f>
        <v>0</v>
      </c>
      <c r="C40" s="91">
        <f>[2]Sheet1!$G37+([2]Sheet1!$J37/53)</f>
        <v>42.224236794054519</v>
      </c>
      <c r="D40" s="93">
        <f t="shared" si="11"/>
        <v>-42.224236794054519</v>
      </c>
      <c r="E40" s="90">
        <f>'WK2 '!E40</f>
        <v>0</v>
      </c>
      <c r="F40" s="91">
        <f>[2]Sheet1!$G37+([2]Sheet1!$J37/53 *2)</f>
        <v>42.448473588109046</v>
      </c>
      <c r="G40" s="93">
        <f t="shared" si="12"/>
        <v>-42.448473588109046</v>
      </c>
      <c r="H40" s="90">
        <f>'WK3'!E40</f>
        <v>0</v>
      </c>
      <c r="I40" s="91">
        <f>[2]Sheet1!$G37+([2]Sheet1!$J37/53 *3)</f>
        <v>42.672710382163565</v>
      </c>
      <c r="J40" s="93">
        <f t="shared" si="13"/>
        <v>-42.672710382163565</v>
      </c>
      <c r="K40" s="90">
        <f>'WK4'!E40</f>
        <v>0</v>
      </c>
      <c r="L40" s="91">
        <f>[2]Sheet1!$G37+([2]Sheet1!$J37/53 *4)</f>
        <v>42.896947176218085</v>
      </c>
      <c r="M40" s="93">
        <f t="shared" si="14"/>
        <v>-42.896947176218085</v>
      </c>
      <c r="N40" s="90">
        <f>'WK5'!E40</f>
        <v>0</v>
      </c>
      <c r="O40" s="91">
        <f>[2]Sheet1!$G37+([2]Sheet1!$J37/53 *5)</f>
        <v>43.121183970272611</v>
      </c>
      <c r="P40" s="93">
        <f t="shared" si="10"/>
        <v>-43.121183970272611</v>
      </c>
    </row>
    <row r="41" spans="1:16" x14ac:dyDescent="0.25">
      <c r="A41" s="9" t="s">
        <v>30</v>
      </c>
      <c r="B41" s="90">
        <f>'WK1'!E41</f>
        <v>0</v>
      </c>
      <c r="C41" s="91">
        <f>[2]Sheet1!$G38+([2]Sheet1!$J38/53)</f>
        <v>20.295458671023269</v>
      </c>
      <c r="D41" s="93">
        <f t="shared" si="11"/>
        <v>-20.295458671023269</v>
      </c>
      <c r="E41" s="90">
        <f>'WK2 '!E41</f>
        <v>0</v>
      </c>
      <c r="F41" s="91">
        <f>[2]Sheet1!$G38+([2]Sheet1!$J38/53 *2)</f>
        <v>20.590917342046534</v>
      </c>
      <c r="G41" s="93">
        <f t="shared" si="12"/>
        <v>-20.590917342046534</v>
      </c>
      <c r="H41" s="90">
        <f>'WK3'!E41</f>
        <v>0</v>
      </c>
      <c r="I41" s="91">
        <f>[2]Sheet1!$G38+([2]Sheet1!$J38/53 *3)</f>
        <v>20.886376013069803</v>
      </c>
      <c r="J41" s="93">
        <f t="shared" si="13"/>
        <v>-20.886376013069803</v>
      </c>
      <c r="K41" s="90">
        <f>'WK4'!E41</f>
        <v>0</v>
      </c>
      <c r="L41" s="91">
        <f>[2]Sheet1!$G38+([2]Sheet1!$J38/53 *4)</f>
        <v>21.181834684093069</v>
      </c>
      <c r="M41" s="93">
        <f t="shared" si="14"/>
        <v>-21.181834684093069</v>
      </c>
      <c r="N41" s="90">
        <f>'WK5'!E41</f>
        <v>0</v>
      </c>
      <c r="O41" s="91">
        <f>[2]Sheet1!$G38+([2]Sheet1!$J38/53 *5)</f>
        <v>21.477293355116338</v>
      </c>
      <c r="P41" s="93">
        <f t="shared" si="10"/>
        <v>-21.477293355116338</v>
      </c>
    </row>
    <row r="42" spans="1:16" x14ac:dyDescent="0.25">
      <c r="A42" s="9" t="s">
        <v>31</v>
      </c>
      <c r="B42" s="90">
        <f>'WK1'!E42</f>
        <v>0</v>
      </c>
      <c r="C42" s="91">
        <f>[2]Sheet1!$G39+([2]Sheet1!$J39/53)</f>
        <v>13.258085872014181</v>
      </c>
      <c r="D42" s="93">
        <f t="shared" si="11"/>
        <v>-13.258085872014181</v>
      </c>
      <c r="E42" s="90">
        <f>'WK2 '!E42</f>
        <v>0</v>
      </c>
      <c r="F42" s="91">
        <f>[2]Sheet1!$G39+([2]Sheet1!$J39/53 *2)</f>
        <v>13.516171744028361</v>
      </c>
      <c r="G42" s="93">
        <f t="shared" si="12"/>
        <v>-13.516171744028361</v>
      </c>
      <c r="H42" s="90">
        <f>'WK3'!E42</f>
        <v>0</v>
      </c>
      <c r="I42" s="91">
        <f>[2]Sheet1!$G39+([2]Sheet1!$J39/53 *3)</f>
        <v>13.77425761604254</v>
      </c>
      <c r="J42" s="93">
        <f t="shared" si="13"/>
        <v>-13.77425761604254</v>
      </c>
      <c r="K42" s="90">
        <f>'WK4'!E42</f>
        <v>0</v>
      </c>
      <c r="L42" s="91">
        <f>[2]Sheet1!$G39+([2]Sheet1!$J39/53 *4)</f>
        <v>14.032343488056721</v>
      </c>
      <c r="M42" s="93">
        <f t="shared" si="14"/>
        <v>-14.032343488056721</v>
      </c>
      <c r="N42" s="90">
        <f>'WK5'!E42</f>
        <v>0</v>
      </c>
      <c r="O42" s="91">
        <f>[2]Sheet1!$G39+([2]Sheet1!$J39/53 *5)</f>
        <v>14.290429360070902</v>
      </c>
      <c r="P42" s="93">
        <f t="shared" si="10"/>
        <v>-14.290429360070902</v>
      </c>
    </row>
    <row r="43" spans="1:16" x14ac:dyDescent="0.25">
      <c r="A43" s="9" t="s">
        <v>44</v>
      </c>
      <c r="B43" s="90">
        <f>'WK1'!E43</f>
        <v>0</v>
      </c>
      <c r="C43" s="91">
        <f>[2]Sheet1!$G40+([2]Sheet1!$J40/53)</f>
        <v>22.188679245283019</v>
      </c>
      <c r="D43" s="93">
        <f t="shared" si="11"/>
        <v>-22.188679245283019</v>
      </c>
      <c r="E43" s="90">
        <f>'WK2 '!E43</f>
        <v>0</v>
      </c>
      <c r="F43" s="91">
        <f>[2]Sheet1!$G40+([2]Sheet1!$J40/53 *2)</f>
        <v>22.377358490566039</v>
      </c>
      <c r="G43" s="93">
        <f t="shared" si="12"/>
        <v>-22.377358490566039</v>
      </c>
      <c r="H43" s="90">
        <f>'WK3'!E43</f>
        <v>0</v>
      </c>
      <c r="I43" s="91">
        <f>[2]Sheet1!$G40+([2]Sheet1!$J40/53 *3)</f>
        <v>22.566037735849058</v>
      </c>
      <c r="J43" s="93">
        <f t="shared" si="13"/>
        <v>-22.566037735849058</v>
      </c>
      <c r="K43" s="90">
        <f>'WK4'!E43</f>
        <v>0</v>
      </c>
      <c r="L43" s="91">
        <f>[2]Sheet1!$G40+([2]Sheet1!$J40/53 *4)</f>
        <v>22.754716981132077</v>
      </c>
      <c r="M43" s="93">
        <f t="shared" si="14"/>
        <v>-22.754716981132077</v>
      </c>
      <c r="N43" s="90">
        <f>'WK5'!E43</f>
        <v>0</v>
      </c>
      <c r="O43" s="91">
        <f>[2]Sheet1!$G40+([2]Sheet1!$J40/53 *5)</f>
        <v>22.943396226415093</v>
      </c>
      <c r="P43" s="93">
        <f t="shared" si="10"/>
        <v>-22.943396226415093</v>
      </c>
    </row>
    <row r="44" spans="1:16" x14ac:dyDescent="0.25">
      <c r="A44" s="9" t="s">
        <v>32</v>
      </c>
      <c r="B44" s="90">
        <f>'WK1'!E44</f>
        <v>12</v>
      </c>
      <c r="C44" s="91">
        <f>[2]Sheet1!$G41+([2]Sheet1!$J41/53)</f>
        <v>11.188679245283019</v>
      </c>
      <c r="D44" s="93">
        <f t="shared" si="11"/>
        <v>0.81132075471698073</v>
      </c>
      <c r="E44" s="90">
        <f>'WK2 '!E44</f>
        <v>12</v>
      </c>
      <c r="F44" s="91">
        <f>[2]Sheet1!$G41+([2]Sheet1!$J41/53 *2)</f>
        <v>11.377358490566039</v>
      </c>
      <c r="G44" s="93">
        <f t="shared" si="12"/>
        <v>0.62264150943396146</v>
      </c>
      <c r="H44" s="90">
        <f>'WK3'!E44</f>
        <v>0</v>
      </c>
      <c r="I44" s="91">
        <f>[2]Sheet1!$G41+([2]Sheet1!$J41/53 *3)</f>
        <v>11.566037735849056</v>
      </c>
      <c r="J44" s="93">
        <f t="shared" si="13"/>
        <v>-11.566037735849056</v>
      </c>
      <c r="K44" s="90">
        <f>'WK4'!E44</f>
        <v>0</v>
      </c>
      <c r="L44" s="91">
        <f>[2]Sheet1!$G41+([2]Sheet1!$J41/53 *4)</f>
        <v>11.754716981132075</v>
      </c>
      <c r="M44" s="93">
        <f t="shared" si="14"/>
        <v>-11.754716981132075</v>
      </c>
      <c r="N44" s="90">
        <f>'WK5'!E44</f>
        <v>0</v>
      </c>
      <c r="O44" s="91">
        <f>[2]Sheet1!$G41+([2]Sheet1!$J41/53 *5)</f>
        <v>11.943396226415095</v>
      </c>
      <c r="P44" s="93">
        <f t="shared" si="10"/>
        <v>-11.943396226415095</v>
      </c>
    </row>
    <row r="45" spans="1:16" x14ac:dyDescent="0.25">
      <c r="A45" s="9" t="s">
        <v>105</v>
      </c>
      <c r="B45" s="90">
        <f>'WK1'!E45</f>
        <v>0</v>
      </c>
      <c r="C45" s="91">
        <f>[2]Sheet1!$G42+([2]Sheet1!$J42/53)</f>
        <v>8.2313910155791188</v>
      </c>
      <c r="D45" s="93">
        <f t="shared" si="11"/>
        <v>-8.2313910155791188</v>
      </c>
      <c r="E45" s="90">
        <f>'WK2 '!E45</f>
        <v>0</v>
      </c>
      <c r="F45" s="91">
        <f>[2]Sheet1!$G42+([2]Sheet1!$J42/53 *2)</f>
        <v>8.4627820311582358</v>
      </c>
      <c r="G45" s="93">
        <f t="shared" si="12"/>
        <v>-8.4627820311582358</v>
      </c>
      <c r="H45" s="90">
        <f>'WK3'!E45</f>
        <v>0</v>
      </c>
      <c r="I45" s="91">
        <f>[2]Sheet1!$G42+([2]Sheet1!$J42/53 *3)</f>
        <v>8.6941730467373546</v>
      </c>
      <c r="J45" s="93">
        <f t="shared" si="13"/>
        <v>-8.6941730467373546</v>
      </c>
      <c r="K45" s="90">
        <f>'WK4'!E45</f>
        <v>0</v>
      </c>
      <c r="L45" s="91">
        <f>[2]Sheet1!$G42+([2]Sheet1!$J42/53 *4)</f>
        <v>8.9255640623164734</v>
      </c>
      <c r="M45" s="93">
        <f t="shared" si="14"/>
        <v>-8.9255640623164734</v>
      </c>
      <c r="N45" s="90">
        <f>'WK5'!E45</f>
        <v>0</v>
      </c>
      <c r="O45" s="91">
        <f>[2]Sheet1!$G42+([2]Sheet1!$J42/53 *5)</f>
        <v>9.1569550778955904</v>
      </c>
      <c r="P45" s="93">
        <f t="shared" si="10"/>
        <v>-9.1569550778955904</v>
      </c>
    </row>
    <row r="46" spans="1:16" x14ac:dyDescent="0.25">
      <c r="A46" s="9" t="s">
        <v>33</v>
      </c>
      <c r="B46" s="90">
        <f>'WK1'!E46</f>
        <v>0</v>
      </c>
      <c r="C46" s="91">
        <f>[2]Sheet1!$G43+([2]Sheet1!$J43/53)</f>
        <v>15.363103437229714</v>
      </c>
      <c r="D46" s="93">
        <f t="shared" si="11"/>
        <v>-15.363103437229714</v>
      </c>
      <c r="E46" s="90">
        <f>'WK2 '!E46</f>
        <v>0</v>
      </c>
      <c r="F46" s="91">
        <f>[2]Sheet1!$G43+([2]Sheet1!$J43/53 *2)</f>
        <v>15.726206874459429</v>
      </c>
      <c r="G46" s="93">
        <f t="shared" si="12"/>
        <v>-15.726206874459429</v>
      </c>
      <c r="H46" s="90">
        <f>'WK3'!E46</f>
        <v>0</v>
      </c>
      <c r="I46" s="91">
        <f>[2]Sheet1!$G43+([2]Sheet1!$J43/53 *3)</f>
        <v>16.089310311689143</v>
      </c>
      <c r="J46" s="93">
        <f>IF(AND(I46=0,H46=0),"Missing Values",H46-I46)</f>
        <v>-16.089310311689143</v>
      </c>
      <c r="K46" s="90">
        <f>'WK4'!E46</f>
        <v>0</v>
      </c>
      <c r="L46" s="91">
        <f>[2]Sheet1!$G43+([2]Sheet1!$J43/53 *4)</f>
        <v>16.452413748918858</v>
      </c>
      <c r="M46" s="93">
        <f t="shared" si="14"/>
        <v>-16.452413748918858</v>
      </c>
      <c r="N46" s="90">
        <f>'WK5'!E46</f>
        <v>0</v>
      </c>
      <c r="O46" s="91">
        <f>[2]Sheet1!$G43+([2]Sheet1!$J43/53 *5)</f>
        <v>16.815517186148572</v>
      </c>
      <c r="P46" s="93">
        <f t="shared" si="10"/>
        <v>-16.815517186148572</v>
      </c>
    </row>
    <row r="47" spans="1:16" x14ac:dyDescent="0.25">
      <c r="A47" s="9" t="s">
        <v>34</v>
      </c>
      <c r="B47" s="90">
        <f>'WK1'!E47</f>
        <v>0</v>
      </c>
      <c r="C47" s="91">
        <f>[2]Sheet1!$G44+([2]Sheet1!$J44/53)</f>
        <v>11.247407929440156</v>
      </c>
      <c r="D47" s="93">
        <f t="shared" si="11"/>
        <v>-11.247407929440156</v>
      </c>
      <c r="E47" s="90">
        <f>'WK2 '!E47</f>
        <v>0</v>
      </c>
      <c r="F47" s="91">
        <f>[2]Sheet1!$G44+([2]Sheet1!$J44/53 *2)</f>
        <v>11.494815858880312</v>
      </c>
      <c r="G47" s="93">
        <f>IF(AND(F47=0,E47=0),"Missing Values",E47-F47)</f>
        <v>-11.494815858880312</v>
      </c>
      <c r="H47" s="90">
        <f>'WK3'!E47</f>
        <v>0</v>
      </c>
      <c r="I47" s="91">
        <f>[2]Sheet1!$G44+([2]Sheet1!$J44/53 *3)</f>
        <v>11.742223788320466</v>
      </c>
      <c r="J47" s="93">
        <f>IF(AND(I47=0,H47=0),"Missing Values",H47-I47)</f>
        <v>-11.742223788320466</v>
      </c>
      <c r="K47" s="90">
        <f>'WK4'!E47</f>
        <v>0</v>
      </c>
      <c r="L47" s="91">
        <f>[2]Sheet1!$G44+([2]Sheet1!$J44/53 *4)</f>
        <v>11.989631717760622</v>
      </c>
      <c r="M47" s="93">
        <f>IF(AND(L47=0,K47=0),"Missing Values",K47-L47)</f>
        <v>-11.989631717760622</v>
      </c>
      <c r="N47" s="90">
        <f>'WK5'!E47</f>
        <v>0</v>
      </c>
      <c r="O47" s="91">
        <f>[2]Sheet1!$G44+([2]Sheet1!$J44/53 *5)</f>
        <v>12.237039647200778</v>
      </c>
      <c r="P47" s="93">
        <f t="shared" si="10"/>
        <v>-12.237039647200778</v>
      </c>
    </row>
    <row r="48" spans="1:16" x14ac:dyDescent="0.25">
      <c r="A48" s="9" t="s">
        <v>35</v>
      </c>
      <c r="B48" s="90">
        <f>'WK1'!E48</f>
        <v>0</v>
      </c>
      <c r="C48" s="91">
        <f>[2]Sheet1!$G45+([2]Sheet1!$J45/53)</f>
        <v>31.354187355180404</v>
      </c>
      <c r="D48" s="93">
        <f t="shared" si="11"/>
        <v>-31.354187355180404</v>
      </c>
      <c r="E48" s="90">
        <f>'WK2 '!E48</f>
        <v>0</v>
      </c>
      <c r="F48" s="91">
        <f>[2]Sheet1!$G45+([2]Sheet1!$J45/53 *2)</f>
        <v>31.708374710360808</v>
      </c>
      <c r="G48" s="93">
        <f>IF(AND(F48=0,E48=0),"Missing Values",E48-F48)</f>
        <v>-31.708374710360808</v>
      </c>
      <c r="H48" s="90">
        <f>'WK3'!E48</f>
        <v>0</v>
      </c>
      <c r="I48" s="91">
        <f>[2]Sheet1!$G45+([2]Sheet1!$J45/53 *3)</f>
        <v>32.062562065541215</v>
      </c>
      <c r="J48" s="93">
        <f>IF(AND(I48=0,H48=0),"Missing Values",H48-I48)</f>
        <v>-32.062562065541215</v>
      </c>
      <c r="K48" s="90">
        <f>'WK4'!E48</f>
        <v>0</v>
      </c>
      <c r="L48" s="91">
        <f>[2]Sheet1!$G45+([2]Sheet1!$J45/53 *4)</f>
        <v>32.416749420721615</v>
      </c>
      <c r="M48" s="93">
        <f>IF(AND(L48=0,K48=0),"Missing Values",K48-L48)</f>
        <v>-32.416749420721615</v>
      </c>
      <c r="N48" s="90">
        <f>'WK5'!E48</f>
        <v>0</v>
      </c>
      <c r="O48" s="91">
        <f>[2]Sheet1!$G45+([2]Sheet1!$J45/53 *5)</f>
        <v>32.770936775902022</v>
      </c>
      <c r="P48" s="93">
        <f t="shared" si="10"/>
        <v>-32.770936775902022</v>
      </c>
    </row>
    <row r="49" spans="1:16" x14ac:dyDescent="0.25">
      <c r="A49" s="45" t="s">
        <v>112</v>
      </c>
      <c r="B49" s="90">
        <f>'WK1'!E49</f>
        <v>0</v>
      </c>
      <c r="C49" s="91">
        <f>[2]Sheet1!$G46+([2]Sheet1!$J46/53)</f>
        <v>47.250931650489584</v>
      </c>
      <c r="D49" s="93">
        <f t="shared" si="11"/>
        <v>-47.250931650489584</v>
      </c>
      <c r="E49" s="90">
        <f>'WK2 '!E49</f>
        <v>0</v>
      </c>
      <c r="F49" s="91">
        <f>[2]Sheet1!$G46+([2]Sheet1!$J46/53 *2)</f>
        <v>47.501863300979167</v>
      </c>
      <c r="G49" s="93">
        <f>IF(AND(F49=0,E49=0),"Missing Values",E49-F49)</f>
        <v>-47.501863300979167</v>
      </c>
      <c r="H49" s="90">
        <f>'WK3'!E49</f>
        <v>0</v>
      </c>
      <c r="I49" s="91">
        <f>[2]Sheet1!$G46+([2]Sheet1!$J46/53 *3)</f>
        <v>47.752794951468751</v>
      </c>
      <c r="J49" s="93">
        <f>IF(AND(I49=0,H49=0),"Missing Values",H49-I49)</f>
        <v>-47.752794951468751</v>
      </c>
      <c r="K49" s="90">
        <f>'WK4'!E49</f>
        <v>0</v>
      </c>
      <c r="L49" s="91">
        <f>[2]Sheet1!$G46+([2]Sheet1!$J46/53 *4)</f>
        <v>48.003726601958334</v>
      </c>
      <c r="M49" s="93">
        <f>IF(AND(L49=0,K49=0),"Missing Values",K49-L49)</f>
        <v>-48.003726601958334</v>
      </c>
      <c r="N49" s="90">
        <f>'WK5'!E49</f>
        <v>0</v>
      </c>
      <c r="O49" s="91">
        <f>[2]Sheet1!$G46+([2]Sheet1!$J46/53 *5)</f>
        <v>48.254658252447918</v>
      </c>
      <c r="P49" s="93">
        <f t="shared" si="10"/>
        <v>-48.254658252447918</v>
      </c>
    </row>
    <row r="50" spans="1:16" ht="15.75" thickBot="1" x14ac:dyDescent="0.3">
      <c r="A50" s="234"/>
      <c r="B50" s="98">
        <f t="shared" ref="B50:P50" si="15">SUM(B37:B49)</f>
        <v>233</v>
      </c>
      <c r="C50" s="99">
        <f t="shared" si="15"/>
        <v>651.25392147441028</v>
      </c>
      <c r="D50" s="100">
        <f t="shared" si="15"/>
        <v>-418.25392147441033</v>
      </c>
      <c r="E50" s="98">
        <f t="shared" si="15"/>
        <v>233</v>
      </c>
      <c r="F50" s="99">
        <f t="shared" si="15"/>
        <v>656.50784294882055</v>
      </c>
      <c r="G50" s="100">
        <f t="shared" si="15"/>
        <v>-423.50784294882067</v>
      </c>
      <c r="H50" s="98">
        <f t="shared" si="15"/>
        <v>13</v>
      </c>
      <c r="I50" s="99">
        <f t="shared" si="15"/>
        <v>661.76176442323083</v>
      </c>
      <c r="J50" s="100">
        <f t="shared" si="15"/>
        <v>-648.76176442323083</v>
      </c>
      <c r="K50" s="98">
        <f t="shared" si="15"/>
        <v>21</v>
      </c>
      <c r="L50" s="99">
        <f t="shared" si="15"/>
        <v>667.01568589764122</v>
      </c>
      <c r="M50" s="100">
        <f t="shared" si="15"/>
        <v>-646.01568589764122</v>
      </c>
      <c r="N50" s="98">
        <f t="shared" si="15"/>
        <v>0</v>
      </c>
      <c r="O50" s="99">
        <f t="shared" si="15"/>
        <v>672.2696073720515</v>
      </c>
      <c r="P50" s="100">
        <f t="shared" si="15"/>
        <v>-672.2696073720515</v>
      </c>
    </row>
    <row r="51" spans="1:16" ht="15.75" thickBot="1" x14ac:dyDescent="0.3">
      <c r="A51" s="84" t="s">
        <v>119</v>
      </c>
      <c r="B51" s="95">
        <f t="shared" ref="B51:P51" si="16">SUM(B6:B50)/2</f>
        <v>2737</v>
      </c>
      <c r="C51" s="96">
        <f t="shared" si="16"/>
        <v>3555.8049460229986</v>
      </c>
      <c r="D51" s="97">
        <f t="shared" si="16"/>
        <v>-818.80494602300041</v>
      </c>
      <c r="E51" s="95">
        <f t="shared" si="16"/>
        <v>2737</v>
      </c>
      <c r="F51" s="96">
        <f t="shared" si="16"/>
        <v>3577.6098920460004</v>
      </c>
      <c r="G51" s="97">
        <f t="shared" si="16"/>
        <v>-840.60989204600037</v>
      </c>
      <c r="H51" s="95">
        <f t="shared" si="16"/>
        <v>2413</v>
      </c>
      <c r="I51" s="96">
        <f t="shared" si="16"/>
        <v>3599.4148380689994</v>
      </c>
      <c r="J51" s="97">
        <f t="shared" si="16"/>
        <v>-1186.414838069001</v>
      </c>
      <c r="K51" s="95">
        <f t="shared" si="16"/>
        <v>2502</v>
      </c>
      <c r="L51" s="96">
        <f t="shared" si="16"/>
        <v>3621.2197840920021</v>
      </c>
      <c r="M51" s="97">
        <f t="shared" si="16"/>
        <v>-1119.2197840920012</v>
      </c>
      <c r="N51" s="95">
        <f t="shared" si="16"/>
        <v>0</v>
      </c>
      <c r="O51" s="96">
        <f t="shared" si="16"/>
        <v>3643.0247301150007</v>
      </c>
      <c r="P51" s="97">
        <f t="shared" si="16"/>
        <v>-3643.0247301150007</v>
      </c>
    </row>
  </sheetData>
  <sheetProtection password="A367" sheet="1" objects="1" scenarios="1"/>
  <mergeCells count="6">
    <mergeCell ref="A1:A3"/>
    <mergeCell ref="N4:P4"/>
    <mergeCell ref="B4:D4"/>
    <mergeCell ref="E4:G4"/>
    <mergeCell ref="H4:J4"/>
    <mergeCell ref="K4:M4"/>
  </mergeCells>
  <conditionalFormatting sqref="M51">
    <cfRule type="cellIs" dxfId="380" priority="109" operator="lessThan">
      <formula>0</formula>
    </cfRule>
  </conditionalFormatting>
  <conditionalFormatting sqref="M10 M15 M21 M26 M36 M50">
    <cfRule type="containsText" dxfId="379" priority="87" operator="containsText" text="Missing Value">
      <formula>NOT(ISERROR(SEARCH("Missing Value",M10)))</formula>
    </cfRule>
  </conditionalFormatting>
  <conditionalFormatting sqref="M10 M15 M21 M26 M36 M50:M51">
    <cfRule type="cellIs" dxfId="378" priority="86" operator="lessThan">
      <formula>0</formula>
    </cfRule>
  </conditionalFormatting>
  <conditionalFormatting sqref="J51">
    <cfRule type="cellIs" dxfId="377" priority="76" operator="lessThan">
      <formula>0</formula>
    </cfRule>
  </conditionalFormatting>
  <conditionalFormatting sqref="J10 J15 J21 J26 J36 J50">
    <cfRule type="containsText" dxfId="376" priority="75" operator="containsText" text="Missing Value">
      <formula>NOT(ISERROR(SEARCH("Missing Value",J10)))</formula>
    </cfRule>
  </conditionalFormatting>
  <conditionalFormatting sqref="J10 J15 J21 J26 J36 J50:J51">
    <cfRule type="cellIs" dxfId="375" priority="74" operator="lessThan">
      <formula>0</formula>
    </cfRule>
  </conditionalFormatting>
  <conditionalFormatting sqref="G51">
    <cfRule type="cellIs" dxfId="374" priority="73" operator="lessThan">
      <formula>0</formula>
    </cfRule>
  </conditionalFormatting>
  <conditionalFormatting sqref="G10 G50 G15 G21 G26">
    <cfRule type="containsText" dxfId="373" priority="72" operator="containsText" text="Missing Value">
      <formula>NOT(ISERROR(SEARCH("Missing Value",G10)))</formula>
    </cfRule>
  </conditionalFormatting>
  <conditionalFormatting sqref="G10 G50:G51 G15 G21 G26">
    <cfRule type="cellIs" dxfId="372" priority="71" operator="lessThan">
      <formula>0</formula>
    </cfRule>
  </conditionalFormatting>
  <conditionalFormatting sqref="D51">
    <cfRule type="cellIs" dxfId="371" priority="70" operator="lessThan">
      <formula>0</formula>
    </cfRule>
  </conditionalFormatting>
  <conditionalFormatting sqref="D50 D6:D10 D15 D21 D26">
    <cfRule type="containsText" dxfId="370" priority="69" operator="containsText" text="Missing Value">
      <formula>NOT(ISERROR(SEARCH("Missing Value",D6)))</formula>
    </cfRule>
  </conditionalFormatting>
  <conditionalFormatting sqref="D50:D51 D6:D10 D15 D21 D26">
    <cfRule type="cellIs" dxfId="369" priority="68" operator="lessThan">
      <formula>0</formula>
    </cfRule>
  </conditionalFormatting>
  <conditionalFormatting sqref="G36">
    <cfRule type="containsText" dxfId="368" priority="67" operator="containsText" text="Missing Value">
      <formula>NOT(ISERROR(SEARCH("Missing Value",G36)))</formula>
    </cfRule>
  </conditionalFormatting>
  <conditionalFormatting sqref="G36">
    <cfRule type="cellIs" dxfId="367" priority="66" operator="lessThan">
      <formula>0</formula>
    </cfRule>
  </conditionalFormatting>
  <conditionalFormatting sqref="D36">
    <cfRule type="containsText" dxfId="366" priority="65" operator="containsText" text="Missing Value">
      <formula>NOT(ISERROR(SEARCH("Missing Value",D36)))</formula>
    </cfRule>
  </conditionalFormatting>
  <conditionalFormatting sqref="D36">
    <cfRule type="cellIs" dxfId="365" priority="64" operator="lessThan">
      <formula>0</formula>
    </cfRule>
  </conditionalFormatting>
  <conditionalFormatting sqref="D11:D14">
    <cfRule type="containsText" dxfId="364" priority="61" operator="containsText" text="Missing Value">
      <formula>NOT(ISERROR(SEARCH("Missing Value",D11)))</formula>
    </cfRule>
  </conditionalFormatting>
  <conditionalFormatting sqref="D11:D14">
    <cfRule type="cellIs" dxfId="363" priority="60" operator="lessThan">
      <formula>0</formula>
    </cfRule>
  </conditionalFormatting>
  <conditionalFormatting sqref="D16:D20">
    <cfRule type="containsText" dxfId="362" priority="59" operator="containsText" text="Missing Value">
      <formula>NOT(ISERROR(SEARCH("Missing Value",D16)))</formula>
    </cfRule>
  </conditionalFormatting>
  <conditionalFormatting sqref="D16:D20">
    <cfRule type="cellIs" dxfId="361" priority="58" operator="lessThan">
      <formula>0</formula>
    </cfRule>
  </conditionalFormatting>
  <conditionalFormatting sqref="D22:D25">
    <cfRule type="containsText" dxfId="360" priority="57" operator="containsText" text="Missing Value">
      <formula>NOT(ISERROR(SEARCH("Missing Value",D22)))</formula>
    </cfRule>
  </conditionalFormatting>
  <conditionalFormatting sqref="D22:D25">
    <cfRule type="cellIs" dxfId="359" priority="56" operator="lessThan">
      <formula>0</formula>
    </cfRule>
  </conditionalFormatting>
  <conditionalFormatting sqref="D27:D35">
    <cfRule type="containsText" dxfId="358" priority="55" operator="containsText" text="Missing Value">
      <formula>NOT(ISERROR(SEARCH("Missing Value",D27)))</formula>
    </cfRule>
  </conditionalFormatting>
  <conditionalFormatting sqref="D27:D35">
    <cfRule type="cellIs" dxfId="357" priority="54" operator="lessThan">
      <formula>0</formula>
    </cfRule>
  </conditionalFormatting>
  <conditionalFormatting sqref="D37:D49">
    <cfRule type="containsText" dxfId="356" priority="53" operator="containsText" text="Missing Value">
      <formula>NOT(ISERROR(SEARCH("Missing Value",D37)))</formula>
    </cfRule>
  </conditionalFormatting>
  <conditionalFormatting sqref="D37:D49">
    <cfRule type="cellIs" dxfId="355" priority="52" operator="lessThan">
      <formula>0</formula>
    </cfRule>
  </conditionalFormatting>
  <conditionalFormatting sqref="G6:G9">
    <cfRule type="containsText" dxfId="354" priority="51" operator="containsText" text="Missing Value">
      <formula>NOT(ISERROR(SEARCH("Missing Value",G6)))</formula>
    </cfRule>
  </conditionalFormatting>
  <conditionalFormatting sqref="G6:G9">
    <cfRule type="cellIs" dxfId="353" priority="50" operator="lessThan">
      <formula>0</formula>
    </cfRule>
  </conditionalFormatting>
  <conditionalFormatting sqref="G11:G14">
    <cfRule type="containsText" dxfId="352" priority="49" operator="containsText" text="Missing Value">
      <formula>NOT(ISERROR(SEARCH("Missing Value",G11)))</formula>
    </cfRule>
  </conditionalFormatting>
  <conditionalFormatting sqref="G11:G14">
    <cfRule type="cellIs" dxfId="351" priority="48" operator="lessThan">
      <formula>0</formula>
    </cfRule>
  </conditionalFormatting>
  <conditionalFormatting sqref="G16:G20">
    <cfRule type="containsText" dxfId="350" priority="47" operator="containsText" text="Missing Value">
      <formula>NOT(ISERROR(SEARCH("Missing Value",G16)))</formula>
    </cfRule>
  </conditionalFormatting>
  <conditionalFormatting sqref="G16:G20">
    <cfRule type="cellIs" dxfId="349" priority="46" operator="lessThan">
      <formula>0</formula>
    </cfRule>
  </conditionalFormatting>
  <conditionalFormatting sqref="G22:G25">
    <cfRule type="containsText" dxfId="348" priority="45" operator="containsText" text="Missing Value">
      <formula>NOT(ISERROR(SEARCH("Missing Value",G22)))</formula>
    </cfRule>
  </conditionalFormatting>
  <conditionalFormatting sqref="G22:G25">
    <cfRule type="cellIs" dxfId="347" priority="44" operator="lessThan">
      <formula>0</formula>
    </cfRule>
  </conditionalFormatting>
  <conditionalFormatting sqref="G27:G35">
    <cfRule type="containsText" dxfId="346" priority="43" operator="containsText" text="Missing Value">
      <formula>NOT(ISERROR(SEARCH("Missing Value",G27)))</formula>
    </cfRule>
  </conditionalFormatting>
  <conditionalFormatting sqref="G27:G35">
    <cfRule type="cellIs" dxfId="345" priority="42" operator="lessThan">
      <formula>0</formula>
    </cfRule>
  </conditionalFormatting>
  <conditionalFormatting sqref="G37:G49">
    <cfRule type="containsText" dxfId="344" priority="41" operator="containsText" text="Missing Value">
      <formula>NOT(ISERROR(SEARCH("Missing Value",G37)))</formula>
    </cfRule>
  </conditionalFormatting>
  <conditionalFormatting sqref="G37:G49">
    <cfRule type="cellIs" dxfId="343" priority="40" operator="lessThan">
      <formula>0</formula>
    </cfRule>
  </conditionalFormatting>
  <conditionalFormatting sqref="J6:J9">
    <cfRule type="containsText" dxfId="342" priority="39" operator="containsText" text="Missing Value">
      <formula>NOT(ISERROR(SEARCH("Missing Value",J6)))</formula>
    </cfRule>
  </conditionalFormatting>
  <conditionalFormatting sqref="J6:J9">
    <cfRule type="cellIs" dxfId="341" priority="38" operator="lessThan">
      <formula>0</formula>
    </cfRule>
  </conditionalFormatting>
  <conditionalFormatting sqref="J11:J14">
    <cfRule type="containsText" dxfId="340" priority="37" operator="containsText" text="Missing Value">
      <formula>NOT(ISERROR(SEARCH("Missing Value",J11)))</formula>
    </cfRule>
  </conditionalFormatting>
  <conditionalFormatting sqref="J11:J14">
    <cfRule type="cellIs" dxfId="339" priority="36" operator="lessThan">
      <formula>0</formula>
    </cfRule>
  </conditionalFormatting>
  <conditionalFormatting sqref="J16:J20">
    <cfRule type="containsText" dxfId="338" priority="35" operator="containsText" text="Missing Value">
      <formula>NOT(ISERROR(SEARCH("Missing Value",J16)))</formula>
    </cfRule>
  </conditionalFormatting>
  <conditionalFormatting sqref="J16:J20">
    <cfRule type="cellIs" dxfId="337" priority="34" operator="lessThan">
      <formula>0</formula>
    </cfRule>
  </conditionalFormatting>
  <conditionalFormatting sqref="J22:J25">
    <cfRule type="containsText" dxfId="336" priority="33" operator="containsText" text="Missing Value">
      <formula>NOT(ISERROR(SEARCH("Missing Value",J22)))</formula>
    </cfRule>
  </conditionalFormatting>
  <conditionalFormatting sqref="J22:J25">
    <cfRule type="cellIs" dxfId="335" priority="32" operator="lessThan">
      <formula>0</formula>
    </cfRule>
  </conditionalFormatting>
  <conditionalFormatting sqref="J27:J35">
    <cfRule type="containsText" dxfId="334" priority="31" operator="containsText" text="Missing Value">
      <formula>NOT(ISERROR(SEARCH("Missing Value",J27)))</formula>
    </cfRule>
  </conditionalFormatting>
  <conditionalFormatting sqref="J27:J35">
    <cfRule type="cellIs" dxfId="333" priority="30" operator="lessThan">
      <formula>0</formula>
    </cfRule>
  </conditionalFormatting>
  <conditionalFormatting sqref="J37:J49">
    <cfRule type="containsText" dxfId="332" priority="29" operator="containsText" text="Missing Value">
      <formula>NOT(ISERROR(SEARCH("Missing Value",J37)))</formula>
    </cfRule>
  </conditionalFormatting>
  <conditionalFormatting sqref="J37:J49">
    <cfRule type="cellIs" dxfId="331" priority="28" operator="lessThan">
      <formula>0</formula>
    </cfRule>
  </conditionalFormatting>
  <conditionalFormatting sqref="M6:M9">
    <cfRule type="containsText" dxfId="330" priority="27" operator="containsText" text="Missing Value">
      <formula>NOT(ISERROR(SEARCH("Missing Value",M6)))</formula>
    </cfRule>
  </conditionalFormatting>
  <conditionalFormatting sqref="M6:M9">
    <cfRule type="cellIs" dxfId="329" priority="26" operator="lessThan">
      <formula>0</formula>
    </cfRule>
  </conditionalFormatting>
  <conditionalFormatting sqref="M11:M14">
    <cfRule type="containsText" dxfId="328" priority="25" operator="containsText" text="Missing Value">
      <formula>NOT(ISERROR(SEARCH("Missing Value",M11)))</formula>
    </cfRule>
  </conditionalFormatting>
  <conditionalFormatting sqref="M11:M14">
    <cfRule type="cellIs" dxfId="327" priority="24" operator="lessThan">
      <formula>0</formula>
    </cfRule>
  </conditionalFormatting>
  <conditionalFormatting sqref="M16:M20">
    <cfRule type="containsText" dxfId="326" priority="23" operator="containsText" text="Missing Value">
      <formula>NOT(ISERROR(SEARCH("Missing Value",M16)))</formula>
    </cfRule>
  </conditionalFormatting>
  <conditionalFormatting sqref="M16:M20">
    <cfRule type="cellIs" dxfId="325" priority="22" operator="lessThan">
      <formula>0</formula>
    </cfRule>
  </conditionalFormatting>
  <conditionalFormatting sqref="M22:M25">
    <cfRule type="containsText" dxfId="324" priority="21" operator="containsText" text="Missing Value">
      <formula>NOT(ISERROR(SEARCH("Missing Value",M22)))</formula>
    </cfRule>
  </conditionalFormatting>
  <conditionalFormatting sqref="M22:M25">
    <cfRule type="cellIs" dxfId="323" priority="20" operator="lessThan">
      <formula>0</formula>
    </cfRule>
  </conditionalFormatting>
  <conditionalFormatting sqref="M27:M35">
    <cfRule type="containsText" dxfId="322" priority="19" operator="containsText" text="Missing Value">
      <formula>NOT(ISERROR(SEARCH("Missing Value",M27)))</formula>
    </cfRule>
  </conditionalFormatting>
  <conditionalFormatting sqref="M27:M35">
    <cfRule type="cellIs" dxfId="321" priority="18" operator="lessThan">
      <formula>0</formula>
    </cfRule>
  </conditionalFormatting>
  <conditionalFormatting sqref="M37:M49">
    <cfRule type="containsText" dxfId="320" priority="17" operator="containsText" text="Missing Value">
      <formula>NOT(ISERROR(SEARCH("Missing Value",M37)))</formula>
    </cfRule>
  </conditionalFormatting>
  <conditionalFormatting sqref="M37:M49">
    <cfRule type="cellIs" dxfId="319" priority="16" operator="lessThan">
      <formula>0</formula>
    </cfRule>
  </conditionalFormatting>
  <conditionalFormatting sqref="P51">
    <cfRule type="cellIs" dxfId="318" priority="15" operator="lessThan">
      <formula>0</formula>
    </cfRule>
  </conditionalFormatting>
  <conditionalFormatting sqref="P10 P15 P21 P26 P36 P50">
    <cfRule type="containsText" dxfId="317" priority="14" operator="containsText" text="Missing Value">
      <formula>NOT(ISERROR(SEARCH("Missing Value",P10)))</formula>
    </cfRule>
  </conditionalFormatting>
  <conditionalFormatting sqref="P10 P15 P21 P26 P36 P50:P51">
    <cfRule type="cellIs" dxfId="316" priority="13" operator="lessThan">
      <formula>0</formula>
    </cfRule>
  </conditionalFormatting>
  <conditionalFormatting sqref="P6:P9">
    <cfRule type="containsText" dxfId="315" priority="12" operator="containsText" text="Missing Value">
      <formula>NOT(ISERROR(SEARCH("Missing Value",P6)))</formula>
    </cfRule>
  </conditionalFormatting>
  <conditionalFormatting sqref="P6:P9">
    <cfRule type="cellIs" dxfId="314" priority="11" operator="lessThan">
      <formula>0</formula>
    </cfRule>
  </conditionalFormatting>
  <conditionalFormatting sqref="P11:P14">
    <cfRule type="containsText" dxfId="313" priority="10" operator="containsText" text="Missing Value">
      <formula>NOT(ISERROR(SEARCH("Missing Value",P11)))</formula>
    </cfRule>
  </conditionalFormatting>
  <conditionalFormatting sqref="P11:P14">
    <cfRule type="cellIs" dxfId="312" priority="9" operator="lessThan">
      <formula>0</formula>
    </cfRule>
  </conditionalFormatting>
  <conditionalFormatting sqref="P16:P20">
    <cfRule type="containsText" dxfId="311" priority="8" operator="containsText" text="Missing Value">
      <formula>NOT(ISERROR(SEARCH("Missing Value",P16)))</formula>
    </cfRule>
  </conditionalFormatting>
  <conditionalFormatting sqref="P16:P20">
    <cfRule type="cellIs" dxfId="310" priority="7" operator="lessThan">
      <formula>0</formula>
    </cfRule>
  </conditionalFormatting>
  <conditionalFormatting sqref="P22:P25">
    <cfRule type="containsText" dxfId="309" priority="6" operator="containsText" text="Missing Value">
      <formula>NOT(ISERROR(SEARCH("Missing Value",P22)))</formula>
    </cfRule>
  </conditionalFormatting>
  <conditionalFormatting sqref="P22:P25">
    <cfRule type="cellIs" dxfId="308" priority="5" operator="lessThan">
      <formula>0</formula>
    </cfRule>
  </conditionalFormatting>
  <conditionalFormatting sqref="P27:P35">
    <cfRule type="containsText" dxfId="307" priority="4" operator="containsText" text="Missing Value">
      <formula>NOT(ISERROR(SEARCH("Missing Value",P27)))</formula>
    </cfRule>
  </conditionalFormatting>
  <conditionalFormatting sqref="P27:P35">
    <cfRule type="cellIs" dxfId="306" priority="3" operator="lessThan">
      <formula>0</formula>
    </cfRule>
  </conditionalFormatting>
  <conditionalFormatting sqref="P37:P49">
    <cfRule type="containsText" dxfId="305" priority="2" operator="containsText" text="Missing Value">
      <formula>NOT(ISERROR(SEARCH("Missing Value",P37)))</formula>
    </cfRule>
  </conditionalFormatting>
  <conditionalFormatting sqref="P37:P49">
    <cfRule type="cellIs" dxfId="304" priority="1" operator="lessThan">
      <formula>0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E55"/>
  <sheetViews>
    <sheetView workbookViewId="0">
      <pane xSplit="1" ySplit="5" topLeftCell="I6" activePane="bottomRight" state="frozen"/>
      <selection pane="topRight" activeCell="F1" sqref="F1"/>
      <selection pane="bottomLeft" activeCell="A6" sqref="A6"/>
      <selection pane="bottomRight" activeCell="H7" sqref="H7"/>
    </sheetView>
  </sheetViews>
  <sheetFormatPr defaultRowHeight="15" x14ac:dyDescent="0.25"/>
  <cols>
    <col min="1" max="1" width="23" style="1" customWidth="1"/>
    <col min="2" max="3" width="10.85546875" style="129" customWidth="1"/>
    <col min="4" max="4" width="12.42578125" style="129" customWidth="1"/>
    <col min="5" max="5" width="13.140625" style="129" customWidth="1"/>
    <col min="6" max="6" width="12.5703125" style="129" customWidth="1"/>
    <col min="7" max="7" width="15" style="129" customWidth="1"/>
    <col min="8" max="8" width="15.140625" style="129" customWidth="1"/>
    <col min="9" max="10" width="15.85546875" style="129" customWidth="1"/>
    <col min="11" max="11" width="15.28515625" style="129" customWidth="1"/>
    <col min="12" max="12" width="18.140625" style="129" customWidth="1"/>
    <col min="13" max="13" width="17.140625" style="129" customWidth="1"/>
    <col min="14" max="14" width="17.42578125" style="129" customWidth="1"/>
    <col min="15" max="15" width="16.5703125" style="129" customWidth="1"/>
    <col min="16" max="21" width="16.7109375" style="129" customWidth="1"/>
    <col min="22" max="23" width="17.28515625" style="129" customWidth="1"/>
    <col min="24" max="24" width="16.7109375" style="129" customWidth="1"/>
    <col min="25" max="26" width="15.28515625" style="129" customWidth="1"/>
    <col min="27" max="27" width="15.85546875" style="129" customWidth="1"/>
    <col min="28" max="28" width="18.7109375" style="129" customWidth="1"/>
    <col min="29" max="29" width="20.140625" style="129" customWidth="1"/>
    <col min="30" max="30" width="18.140625" style="129" customWidth="1"/>
    <col min="31" max="31" width="17.140625" style="129" customWidth="1"/>
    <col min="32" max="16384" width="9.140625" style="12"/>
  </cols>
  <sheetData>
    <row r="1" spans="1:31" s="5" customFormat="1" ht="14.25" customHeight="1" x14ac:dyDescent="0.2">
      <c r="A1" s="288"/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</row>
    <row r="2" spans="1:31" s="5" customFormat="1" ht="14.25" customHeight="1" x14ac:dyDescent="0.2">
      <c r="A2" s="288"/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</row>
    <row r="3" spans="1:31" s="5" customFormat="1" ht="14.25" customHeight="1" thickBot="1" x14ac:dyDescent="0.25">
      <c r="A3" s="288"/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</row>
    <row r="4" spans="1:31" s="1" customFormat="1" ht="18.75" thickBot="1" x14ac:dyDescent="0.3">
      <c r="A4" s="25"/>
      <c r="B4" s="289" t="s">
        <v>122</v>
      </c>
      <c r="C4" s="290"/>
      <c r="D4" s="290"/>
      <c r="E4" s="291"/>
      <c r="F4" s="285" t="s">
        <v>127</v>
      </c>
      <c r="G4" s="286"/>
      <c r="H4" s="286"/>
      <c r="I4" s="286"/>
      <c r="J4" s="286"/>
      <c r="K4" s="286"/>
      <c r="L4" s="286"/>
      <c r="M4" s="287"/>
      <c r="N4" s="285" t="s">
        <v>67</v>
      </c>
      <c r="O4" s="287"/>
      <c r="P4" s="285" t="s">
        <v>152</v>
      </c>
      <c r="Q4" s="286"/>
      <c r="R4" s="287"/>
      <c r="S4" s="285" t="s">
        <v>163</v>
      </c>
      <c r="T4" s="286"/>
      <c r="U4" s="286"/>
      <c r="V4" s="287"/>
      <c r="W4" s="285" t="s">
        <v>156</v>
      </c>
      <c r="X4" s="286"/>
      <c r="Y4" s="286"/>
      <c r="Z4" s="286"/>
      <c r="AA4" s="287"/>
      <c r="AB4" s="282" t="s">
        <v>181</v>
      </c>
      <c r="AC4" s="283"/>
      <c r="AD4" s="283"/>
      <c r="AE4" s="284"/>
    </row>
    <row r="5" spans="1:31" s="1" customFormat="1" ht="16.5" customHeight="1" x14ac:dyDescent="0.25">
      <c r="A5" s="28" t="s">
        <v>0</v>
      </c>
      <c r="B5" s="131" t="s">
        <v>7</v>
      </c>
      <c r="C5" s="132" t="s">
        <v>8</v>
      </c>
      <c r="D5" s="132" t="s">
        <v>9</v>
      </c>
      <c r="E5" s="132" t="s">
        <v>10</v>
      </c>
      <c r="F5" s="132" t="s">
        <v>187</v>
      </c>
      <c r="G5" s="132" t="s">
        <v>11</v>
      </c>
      <c r="H5" s="132" t="s">
        <v>125</v>
      </c>
      <c r="I5" s="132" t="s">
        <v>126</v>
      </c>
      <c r="J5" s="132" t="s">
        <v>188</v>
      </c>
      <c r="K5" s="132" t="s">
        <v>150</v>
      </c>
      <c r="L5" s="132" t="s">
        <v>12</v>
      </c>
      <c r="M5" s="132" t="s">
        <v>10</v>
      </c>
      <c r="N5" s="132" t="s">
        <v>13</v>
      </c>
      <c r="O5" s="29" t="s">
        <v>42</v>
      </c>
      <c r="P5" s="134" t="s">
        <v>153</v>
      </c>
      <c r="Q5" s="134" t="s">
        <v>155</v>
      </c>
      <c r="R5" s="135" t="s">
        <v>154</v>
      </c>
      <c r="S5" s="131" t="s">
        <v>159</v>
      </c>
      <c r="T5" s="200" t="s">
        <v>155</v>
      </c>
      <c r="U5" s="132" t="s">
        <v>154</v>
      </c>
      <c r="V5" s="136" t="s">
        <v>166</v>
      </c>
      <c r="W5" s="134" t="s">
        <v>161</v>
      </c>
      <c r="X5" s="134" t="s">
        <v>153</v>
      </c>
      <c r="Y5" s="134" t="s">
        <v>155</v>
      </c>
      <c r="Z5" s="135" t="s">
        <v>154</v>
      </c>
      <c r="AA5" s="136" t="s">
        <v>164</v>
      </c>
      <c r="AB5" s="131" t="s">
        <v>182</v>
      </c>
      <c r="AC5" s="132" t="s">
        <v>183</v>
      </c>
      <c r="AD5" s="132" t="s">
        <v>184</v>
      </c>
      <c r="AE5" s="29" t="s">
        <v>10</v>
      </c>
    </row>
    <row r="6" spans="1:31" s="1" customFormat="1" ht="15" customHeight="1" x14ac:dyDescent="0.2">
      <c r="A6" s="30" t="s">
        <v>1</v>
      </c>
      <c r="B6" s="137">
        <v>85</v>
      </c>
      <c r="C6" s="138">
        <v>86</v>
      </c>
      <c r="D6" s="138">
        <v>71</v>
      </c>
      <c r="E6" s="155">
        <f>SUM(B6:D6)</f>
        <v>242</v>
      </c>
      <c r="F6" s="139">
        <v>47700</v>
      </c>
      <c r="G6" s="139">
        <v>18900</v>
      </c>
      <c r="H6" s="147">
        <v>0</v>
      </c>
      <c r="I6" s="139">
        <v>3600</v>
      </c>
      <c r="J6" s="139">
        <v>0</v>
      </c>
      <c r="K6" s="138">
        <v>17210</v>
      </c>
      <c r="L6" s="138">
        <v>0</v>
      </c>
      <c r="M6" s="163">
        <f>SUM(F6:L6)</f>
        <v>87410</v>
      </c>
      <c r="N6" s="138">
        <v>1</v>
      </c>
      <c r="O6" s="140">
        <v>0</v>
      </c>
      <c r="P6" s="138">
        <v>0</v>
      </c>
      <c r="Q6" s="138">
        <v>0</v>
      </c>
      <c r="R6" s="201">
        <v>0</v>
      </c>
      <c r="S6" s="137">
        <v>0</v>
      </c>
      <c r="T6" s="183">
        <v>0</v>
      </c>
      <c r="U6" s="138">
        <v>0</v>
      </c>
      <c r="V6" s="192">
        <f>SUM(S6:U6)</f>
        <v>0</v>
      </c>
      <c r="W6" s="138">
        <v>0</v>
      </c>
      <c r="X6" s="138">
        <v>0</v>
      </c>
      <c r="Y6" s="138">
        <v>0</v>
      </c>
      <c r="Z6" s="183">
        <v>0</v>
      </c>
      <c r="AA6" s="192" t="str">
        <f>IF(SUM(W6:Z6)&gt;0,AVERAGEIF(W6:Z6,"&lt;&gt;0"),"-")</f>
        <v>-</v>
      </c>
      <c r="AB6" s="142">
        <v>0</v>
      </c>
      <c r="AC6" s="138">
        <v>0</v>
      </c>
      <c r="AD6" s="138">
        <v>0</v>
      </c>
      <c r="AE6" s="123">
        <f>SUM(AB6:AD6)</f>
        <v>0</v>
      </c>
    </row>
    <row r="7" spans="1:31" s="1" customFormat="1" ht="15" customHeight="1" x14ac:dyDescent="0.2">
      <c r="A7" s="30" t="s">
        <v>2</v>
      </c>
      <c r="B7" s="137">
        <v>80</v>
      </c>
      <c r="C7" s="138">
        <v>115</v>
      </c>
      <c r="D7" s="138">
        <v>85</v>
      </c>
      <c r="E7" s="155">
        <f>SUM(B7:D7)</f>
        <v>280</v>
      </c>
      <c r="F7" s="141">
        <v>46050</v>
      </c>
      <c r="G7" s="139">
        <v>15000</v>
      </c>
      <c r="H7" s="147">
        <v>0</v>
      </c>
      <c r="I7" s="139">
        <v>2400</v>
      </c>
      <c r="J7" s="139">
        <v>0</v>
      </c>
      <c r="K7" s="138">
        <v>5900</v>
      </c>
      <c r="L7" s="138">
        <v>10500</v>
      </c>
      <c r="M7" s="163">
        <f>SUM(F7:L7)</f>
        <v>79850</v>
      </c>
      <c r="N7" s="138">
        <v>3</v>
      </c>
      <c r="O7" s="140">
        <v>3</v>
      </c>
      <c r="P7" s="138">
        <v>0</v>
      </c>
      <c r="Q7" s="138">
        <v>0</v>
      </c>
      <c r="R7" s="183">
        <v>0</v>
      </c>
      <c r="S7" s="137">
        <v>0</v>
      </c>
      <c r="T7" s="183">
        <v>0</v>
      </c>
      <c r="U7" s="138">
        <v>0</v>
      </c>
      <c r="V7" s="192">
        <f t="shared" ref="V7:V49" si="0">SUM(S7:U7)</f>
        <v>0</v>
      </c>
      <c r="W7" s="138">
        <v>0</v>
      </c>
      <c r="X7" s="138">
        <v>0</v>
      </c>
      <c r="Y7" s="138">
        <v>0</v>
      </c>
      <c r="Z7" s="183">
        <v>0</v>
      </c>
      <c r="AA7" s="192" t="str">
        <f t="shared" ref="AA7:AA49" si="1">IF(SUM(W7:Z7)&gt;0,AVERAGEIF(W7:Z7,"&lt;&gt;0"),"-")</f>
        <v>-</v>
      </c>
      <c r="AB7" s="142">
        <v>0</v>
      </c>
      <c r="AC7" s="138">
        <v>0</v>
      </c>
      <c r="AD7" s="138">
        <v>0</v>
      </c>
      <c r="AE7" s="123">
        <f t="shared" ref="AE7:AE49" si="2">SUM(AB7:AD7)</f>
        <v>0</v>
      </c>
    </row>
    <row r="8" spans="1:31" s="1" customFormat="1" ht="15" customHeight="1" x14ac:dyDescent="0.2">
      <c r="A8" s="30" t="s">
        <v>5</v>
      </c>
      <c r="B8" s="146">
        <v>3</v>
      </c>
      <c r="C8" s="147">
        <v>8</v>
      </c>
      <c r="D8" s="147">
        <v>1</v>
      </c>
      <c r="E8" s="155">
        <f>SUM(B8:D8)</f>
        <v>12</v>
      </c>
      <c r="F8" s="147">
        <v>3200</v>
      </c>
      <c r="G8" s="147">
        <v>0</v>
      </c>
      <c r="H8" s="147">
        <v>0</v>
      </c>
      <c r="I8" s="147">
        <v>0</v>
      </c>
      <c r="J8" s="147">
        <v>0</v>
      </c>
      <c r="K8" s="147">
        <v>0</v>
      </c>
      <c r="L8" s="147">
        <v>0</v>
      </c>
      <c r="M8" s="163">
        <f>SUM(F8:L8)</f>
        <v>3200</v>
      </c>
      <c r="N8" s="147">
        <v>0</v>
      </c>
      <c r="O8" s="149">
        <v>0</v>
      </c>
      <c r="P8" s="147">
        <v>0</v>
      </c>
      <c r="Q8" s="147">
        <v>0</v>
      </c>
      <c r="R8" s="184">
        <v>0</v>
      </c>
      <c r="S8" s="137">
        <v>0</v>
      </c>
      <c r="T8" s="183">
        <v>0</v>
      </c>
      <c r="U8" s="138">
        <v>0</v>
      </c>
      <c r="V8" s="192">
        <f t="shared" si="0"/>
        <v>0</v>
      </c>
      <c r="W8" s="147">
        <v>0</v>
      </c>
      <c r="X8" s="147">
        <v>0</v>
      </c>
      <c r="Y8" s="147">
        <v>0</v>
      </c>
      <c r="Z8" s="184">
        <v>0</v>
      </c>
      <c r="AA8" s="192" t="str">
        <f t="shared" si="1"/>
        <v>-</v>
      </c>
      <c r="AB8" s="146">
        <v>0</v>
      </c>
      <c r="AC8" s="147">
        <v>0</v>
      </c>
      <c r="AD8" s="147">
        <v>0</v>
      </c>
      <c r="AE8" s="123">
        <f t="shared" si="2"/>
        <v>0</v>
      </c>
    </row>
    <row r="9" spans="1:31" s="1" customFormat="1" ht="15" customHeight="1" x14ac:dyDescent="0.2">
      <c r="A9" s="30" t="s">
        <v>6</v>
      </c>
      <c r="B9" s="146">
        <v>14</v>
      </c>
      <c r="C9" s="147">
        <v>11</v>
      </c>
      <c r="D9" s="147">
        <v>6</v>
      </c>
      <c r="E9" s="155">
        <f>SUM(B9:D9)</f>
        <v>31</v>
      </c>
      <c r="F9" s="147">
        <v>5500</v>
      </c>
      <c r="G9" s="147">
        <v>0</v>
      </c>
      <c r="H9" s="147">
        <v>0</v>
      </c>
      <c r="I9" s="147">
        <v>0</v>
      </c>
      <c r="J9" s="147">
        <v>0</v>
      </c>
      <c r="K9" s="147">
        <v>0</v>
      </c>
      <c r="L9" s="147">
        <v>0</v>
      </c>
      <c r="M9" s="163">
        <f>SUM(F9:L9)</f>
        <v>5500</v>
      </c>
      <c r="N9" s="147">
        <v>5</v>
      </c>
      <c r="O9" s="149">
        <v>0</v>
      </c>
      <c r="P9" s="147">
        <v>0</v>
      </c>
      <c r="Q9" s="147">
        <v>0</v>
      </c>
      <c r="R9" s="184">
        <v>0</v>
      </c>
      <c r="S9" s="137">
        <v>0</v>
      </c>
      <c r="T9" s="183">
        <v>0</v>
      </c>
      <c r="U9" s="138">
        <v>0</v>
      </c>
      <c r="V9" s="192">
        <f t="shared" si="0"/>
        <v>0</v>
      </c>
      <c r="W9" s="147">
        <v>0</v>
      </c>
      <c r="X9" s="147">
        <v>0</v>
      </c>
      <c r="Y9" s="147">
        <v>0</v>
      </c>
      <c r="Z9" s="184">
        <v>0</v>
      </c>
      <c r="AA9" s="192" t="str">
        <f t="shared" si="1"/>
        <v>-</v>
      </c>
      <c r="AB9" s="146">
        <v>0</v>
      </c>
      <c r="AC9" s="147">
        <v>0</v>
      </c>
      <c r="AD9" s="147">
        <v>0</v>
      </c>
      <c r="AE9" s="123">
        <f t="shared" si="2"/>
        <v>0</v>
      </c>
    </row>
    <row r="10" spans="1:31" s="1" customFormat="1" ht="15" customHeight="1" x14ac:dyDescent="0.2">
      <c r="A10" s="237"/>
      <c r="B10" s="170">
        <f t="shared" ref="B10:U10" si="3">SUM(B6:B9)</f>
        <v>182</v>
      </c>
      <c r="C10" s="156">
        <f t="shared" si="3"/>
        <v>220</v>
      </c>
      <c r="D10" s="156">
        <f t="shared" si="3"/>
        <v>163</v>
      </c>
      <c r="E10" s="156">
        <f t="shared" si="3"/>
        <v>565</v>
      </c>
      <c r="F10" s="156">
        <f t="shared" si="3"/>
        <v>102450</v>
      </c>
      <c r="G10" s="156">
        <f t="shared" si="3"/>
        <v>33900</v>
      </c>
      <c r="H10" s="156">
        <f t="shared" si="3"/>
        <v>0</v>
      </c>
      <c r="I10" s="156">
        <f t="shared" si="3"/>
        <v>6000</v>
      </c>
      <c r="J10" s="156">
        <f t="shared" si="3"/>
        <v>0</v>
      </c>
      <c r="K10" s="156">
        <f t="shared" si="3"/>
        <v>23110</v>
      </c>
      <c r="L10" s="156">
        <f t="shared" si="3"/>
        <v>10500</v>
      </c>
      <c r="M10" s="156">
        <f t="shared" si="3"/>
        <v>175960</v>
      </c>
      <c r="N10" s="156">
        <f t="shared" si="3"/>
        <v>9</v>
      </c>
      <c r="O10" s="161">
        <f t="shared" si="3"/>
        <v>3</v>
      </c>
      <c r="P10" s="156">
        <f t="shared" si="3"/>
        <v>0</v>
      </c>
      <c r="Q10" s="156">
        <f>SUM(Q6:Q9)</f>
        <v>0</v>
      </c>
      <c r="R10" s="173">
        <f t="shared" si="3"/>
        <v>0</v>
      </c>
      <c r="S10" s="194">
        <f t="shared" si="3"/>
        <v>0</v>
      </c>
      <c r="T10" s="173">
        <f>SUM(T6:T9)</f>
        <v>0</v>
      </c>
      <c r="U10" s="156">
        <f t="shared" si="3"/>
        <v>0</v>
      </c>
      <c r="V10" s="161">
        <f>IF(SUM(V6:V9)&gt;0,AVERAGEIF(V6:V9,"&lt;&gt;0"),0)</f>
        <v>0</v>
      </c>
      <c r="W10" s="175">
        <f>SUM(W6:W9)</f>
        <v>0</v>
      </c>
      <c r="X10" s="156">
        <f>SUM(X6:X9)</f>
        <v>0</v>
      </c>
      <c r="Y10" s="156">
        <f>SUM(Y6:Y9)</f>
        <v>0</v>
      </c>
      <c r="Z10" s="171">
        <f>SUM(Z6:Z9)</f>
        <v>0</v>
      </c>
      <c r="AA10" s="161">
        <f>IF(SUM(AA6:AA9),AVERAGEIF(AA6:AA9,"&lt;&gt;0"),0)</f>
        <v>0</v>
      </c>
      <c r="AB10" s="194">
        <f>SUM(AB6:AB9)</f>
        <v>0</v>
      </c>
      <c r="AC10" s="156">
        <f>SUM(AC6:AC9)</f>
        <v>0</v>
      </c>
      <c r="AD10" s="156">
        <f>SUM(AD6:AD9)</f>
        <v>0</v>
      </c>
      <c r="AE10" s="161">
        <f>SUM(AE6:AE9)</f>
        <v>0</v>
      </c>
    </row>
    <row r="11" spans="1:31" s="1" customFormat="1" ht="15" customHeight="1" x14ac:dyDescent="0.2">
      <c r="A11" s="30" t="s">
        <v>65</v>
      </c>
      <c r="B11" s="146">
        <v>89</v>
      </c>
      <c r="C11" s="147">
        <v>81</v>
      </c>
      <c r="D11" s="147">
        <v>77</v>
      </c>
      <c r="E11" s="155">
        <f>SUM(B11:D11)</f>
        <v>247</v>
      </c>
      <c r="F11" s="147">
        <v>46750</v>
      </c>
      <c r="G11" s="147">
        <v>4000</v>
      </c>
      <c r="H11" s="147">
        <v>0</v>
      </c>
      <c r="I11" s="147">
        <v>0</v>
      </c>
      <c r="J11" s="147">
        <v>0</v>
      </c>
      <c r="K11" s="147">
        <v>0</v>
      </c>
      <c r="L11" s="147">
        <v>0</v>
      </c>
      <c r="M11" s="163">
        <f>SUM(F11:L11)</f>
        <v>50750</v>
      </c>
      <c r="N11" s="147">
        <v>0</v>
      </c>
      <c r="O11" s="149">
        <v>0</v>
      </c>
      <c r="P11" s="147">
        <v>0</v>
      </c>
      <c r="Q11" s="147">
        <v>0</v>
      </c>
      <c r="R11" s="202">
        <v>0</v>
      </c>
      <c r="S11" s="137">
        <v>0</v>
      </c>
      <c r="T11" s="183">
        <v>0</v>
      </c>
      <c r="U11" s="138">
        <v>0</v>
      </c>
      <c r="V11" s="192">
        <f t="shared" si="0"/>
        <v>0</v>
      </c>
      <c r="W11" s="147">
        <v>0</v>
      </c>
      <c r="X11" s="147">
        <v>0</v>
      </c>
      <c r="Y11" s="147">
        <v>0</v>
      </c>
      <c r="Z11" s="184">
        <v>0</v>
      </c>
      <c r="AA11" s="192" t="str">
        <f t="shared" si="1"/>
        <v>-</v>
      </c>
      <c r="AB11" s="146">
        <v>0</v>
      </c>
      <c r="AC11" s="147">
        <v>0</v>
      </c>
      <c r="AD11" s="147">
        <v>0</v>
      </c>
      <c r="AE11" s="123">
        <f t="shared" si="2"/>
        <v>0</v>
      </c>
    </row>
    <row r="12" spans="1:31" s="1" customFormat="1" ht="15" customHeight="1" x14ac:dyDescent="0.2">
      <c r="A12" s="30" t="s">
        <v>4</v>
      </c>
      <c r="B12" s="146">
        <v>22</v>
      </c>
      <c r="C12" s="148">
        <v>40</v>
      </c>
      <c r="D12" s="147">
        <v>46</v>
      </c>
      <c r="E12" s="155">
        <f>SUM(B12:D12)</f>
        <v>108</v>
      </c>
      <c r="F12" s="147">
        <v>14950</v>
      </c>
      <c r="G12" s="147">
        <v>7250</v>
      </c>
      <c r="H12" s="147">
        <v>0</v>
      </c>
      <c r="I12" s="147">
        <v>0</v>
      </c>
      <c r="J12" s="147">
        <v>0</v>
      </c>
      <c r="K12" s="147">
        <v>0</v>
      </c>
      <c r="L12" s="147">
        <v>0</v>
      </c>
      <c r="M12" s="163">
        <f>SUM(F12:L12)</f>
        <v>22200</v>
      </c>
      <c r="N12" s="147">
        <v>2</v>
      </c>
      <c r="O12" s="149">
        <v>0</v>
      </c>
      <c r="P12" s="147">
        <v>0</v>
      </c>
      <c r="Q12" s="147">
        <v>0</v>
      </c>
      <c r="R12" s="184">
        <v>0</v>
      </c>
      <c r="S12" s="137">
        <v>0</v>
      </c>
      <c r="T12" s="183">
        <v>0</v>
      </c>
      <c r="U12" s="138">
        <v>0</v>
      </c>
      <c r="V12" s="192">
        <f t="shared" si="0"/>
        <v>0</v>
      </c>
      <c r="W12" s="147">
        <v>0</v>
      </c>
      <c r="X12" s="147">
        <v>0</v>
      </c>
      <c r="Y12" s="147">
        <v>0</v>
      </c>
      <c r="Z12" s="184">
        <v>0</v>
      </c>
      <c r="AA12" s="192" t="str">
        <f t="shared" si="1"/>
        <v>-</v>
      </c>
      <c r="AB12" s="146">
        <v>0</v>
      </c>
      <c r="AC12" s="147">
        <v>0</v>
      </c>
      <c r="AD12" s="147">
        <v>0</v>
      </c>
      <c r="AE12" s="123">
        <f t="shared" si="2"/>
        <v>0</v>
      </c>
    </row>
    <row r="13" spans="1:31" s="1" customFormat="1" ht="15" customHeight="1" x14ac:dyDescent="0.2">
      <c r="A13" s="30" t="s">
        <v>3</v>
      </c>
      <c r="B13" s="146">
        <v>22</v>
      </c>
      <c r="C13" s="147">
        <v>25</v>
      </c>
      <c r="D13" s="147">
        <v>29</v>
      </c>
      <c r="E13" s="155">
        <f>SUM(B13:D13)</f>
        <v>76</v>
      </c>
      <c r="F13" s="147">
        <v>28050</v>
      </c>
      <c r="G13" s="147">
        <v>2000</v>
      </c>
      <c r="H13" s="147">
        <v>0</v>
      </c>
      <c r="I13" s="147">
        <v>0</v>
      </c>
      <c r="J13" s="147">
        <v>0</v>
      </c>
      <c r="K13" s="147">
        <v>0</v>
      </c>
      <c r="L13" s="147">
        <v>8000</v>
      </c>
      <c r="M13" s="163">
        <f>SUM(F13:L13)</f>
        <v>38050</v>
      </c>
      <c r="N13" s="147">
        <v>2</v>
      </c>
      <c r="O13" s="149">
        <v>0</v>
      </c>
      <c r="P13" s="147">
        <v>0</v>
      </c>
      <c r="Q13" s="147">
        <v>0</v>
      </c>
      <c r="R13" s="184">
        <v>0</v>
      </c>
      <c r="S13" s="137">
        <v>0</v>
      </c>
      <c r="T13" s="183">
        <v>0</v>
      </c>
      <c r="U13" s="138">
        <v>0</v>
      </c>
      <c r="V13" s="192">
        <f t="shared" si="0"/>
        <v>0</v>
      </c>
      <c r="W13" s="147">
        <v>0</v>
      </c>
      <c r="X13" s="147">
        <v>0</v>
      </c>
      <c r="Y13" s="147">
        <v>0</v>
      </c>
      <c r="Z13" s="184">
        <v>0</v>
      </c>
      <c r="AA13" s="192" t="str">
        <f t="shared" si="1"/>
        <v>-</v>
      </c>
      <c r="AB13" s="146">
        <v>0</v>
      </c>
      <c r="AC13" s="147">
        <v>0</v>
      </c>
      <c r="AD13" s="147">
        <v>0</v>
      </c>
      <c r="AE13" s="123">
        <f t="shared" si="2"/>
        <v>0</v>
      </c>
    </row>
    <row r="14" spans="1:31" s="1" customFormat="1" ht="15" customHeight="1" x14ac:dyDescent="0.2">
      <c r="A14" s="30" t="s">
        <v>107</v>
      </c>
      <c r="B14" s="146">
        <v>4</v>
      </c>
      <c r="C14" s="147">
        <v>2</v>
      </c>
      <c r="D14" s="147">
        <v>4</v>
      </c>
      <c r="E14" s="155">
        <f>SUM(B14:D14)</f>
        <v>10</v>
      </c>
      <c r="F14" s="147">
        <v>900</v>
      </c>
      <c r="G14" s="147">
        <v>200</v>
      </c>
      <c r="H14" s="147">
        <v>0</v>
      </c>
      <c r="I14" s="147">
        <v>0</v>
      </c>
      <c r="J14" s="147">
        <v>0</v>
      </c>
      <c r="K14" s="147">
        <v>0</v>
      </c>
      <c r="L14" s="147">
        <v>0</v>
      </c>
      <c r="M14" s="163">
        <f>SUM(F14:L14)</f>
        <v>1100</v>
      </c>
      <c r="N14" s="147">
        <v>3</v>
      </c>
      <c r="O14" s="149">
        <v>0</v>
      </c>
      <c r="P14" s="147">
        <v>0</v>
      </c>
      <c r="Q14" s="147">
        <v>0</v>
      </c>
      <c r="R14" s="184">
        <v>0</v>
      </c>
      <c r="S14" s="137">
        <v>0</v>
      </c>
      <c r="T14" s="183">
        <v>0</v>
      </c>
      <c r="U14" s="138">
        <v>0</v>
      </c>
      <c r="V14" s="192">
        <f t="shared" si="0"/>
        <v>0</v>
      </c>
      <c r="W14" s="147">
        <v>0</v>
      </c>
      <c r="X14" s="147">
        <v>0</v>
      </c>
      <c r="Y14" s="147">
        <v>0</v>
      </c>
      <c r="Z14" s="184">
        <v>0</v>
      </c>
      <c r="AA14" s="192" t="str">
        <f t="shared" si="1"/>
        <v>-</v>
      </c>
      <c r="AB14" s="146">
        <v>0</v>
      </c>
      <c r="AC14" s="147">
        <v>0</v>
      </c>
      <c r="AD14" s="147">
        <v>0</v>
      </c>
      <c r="AE14" s="123">
        <f t="shared" si="2"/>
        <v>0</v>
      </c>
    </row>
    <row r="15" spans="1:31" s="1" customFormat="1" ht="15" customHeight="1" x14ac:dyDescent="0.2">
      <c r="A15" s="236"/>
      <c r="B15" s="170">
        <f t="shared" ref="B15:U15" si="4">SUM(B11:B14)</f>
        <v>137</v>
      </c>
      <c r="C15" s="156">
        <f t="shared" si="4"/>
        <v>148</v>
      </c>
      <c r="D15" s="156">
        <f t="shared" si="4"/>
        <v>156</v>
      </c>
      <c r="E15" s="156">
        <f t="shared" si="4"/>
        <v>441</v>
      </c>
      <c r="F15" s="156">
        <f t="shared" si="4"/>
        <v>90650</v>
      </c>
      <c r="G15" s="156">
        <f t="shared" si="4"/>
        <v>13450</v>
      </c>
      <c r="H15" s="156">
        <f t="shared" si="4"/>
        <v>0</v>
      </c>
      <c r="I15" s="156">
        <f t="shared" si="4"/>
        <v>0</v>
      </c>
      <c r="J15" s="156">
        <f t="shared" si="4"/>
        <v>0</v>
      </c>
      <c r="K15" s="156">
        <f t="shared" si="4"/>
        <v>0</v>
      </c>
      <c r="L15" s="156">
        <f t="shared" si="4"/>
        <v>8000</v>
      </c>
      <c r="M15" s="156">
        <f t="shared" si="4"/>
        <v>112100</v>
      </c>
      <c r="N15" s="156">
        <f t="shared" si="4"/>
        <v>7</v>
      </c>
      <c r="O15" s="161">
        <f t="shared" si="4"/>
        <v>0</v>
      </c>
      <c r="P15" s="156">
        <f t="shared" si="4"/>
        <v>0</v>
      </c>
      <c r="Q15" s="156">
        <f>SUM(Q11:Q14)</f>
        <v>0</v>
      </c>
      <c r="R15" s="173">
        <f t="shared" si="4"/>
        <v>0</v>
      </c>
      <c r="S15" s="194">
        <f t="shared" si="4"/>
        <v>0</v>
      </c>
      <c r="T15" s="173">
        <f>SUM(T11:T14)</f>
        <v>0</v>
      </c>
      <c r="U15" s="156">
        <f t="shared" si="4"/>
        <v>0</v>
      </c>
      <c r="V15" s="161">
        <f>IF(SUM(V11:V14)&gt;0,AVERAGEIF(V11:V14,"&lt;&gt;0"),0)</f>
        <v>0</v>
      </c>
      <c r="W15" s="156">
        <f>SUM(W11:W14)</f>
        <v>0</v>
      </c>
      <c r="X15" s="156">
        <f>SUM(X11:X14)</f>
        <v>0</v>
      </c>
      <c r="Y15" s="156">
        <f>SUM(Y11:Y14)</f>
        <v>0</v>
      </c>
      <c r="Z15" s="173">
        <f>SUM(Z11:Z14)</f>
        <v>0</v>
      </c>
      <c r="AA15" s="161">
        <f>IF(SUM(AA11:AA14),AVERAGEIF(AA11:AA14,"&lt;&gt;0"),0)</f>
        <v>0</v>
      </c>
      <c r="AB15" s="194">
        <f>SUM(AB11:AB14)</f>
        <v>0</v>
      </c>
      <c r="AC15" s="156">
        <f>SUM(AC11:AC14)</f>
        <v>0</v>
      </c>
      <c r="AD15" s="156">
        <f>SUM(AD11:AD14)</f>
        <v>0</v>
      </c>
      <c r="AE15" s="161">
        <f>SUM(AE11:AE14)</f>
        <v>0</v>
      </c>
    </row>
    <row r="16" spans="1:31" s="1" customFormat="1" ht="15" customHeight="1" x14ac:dyDescent="0.2">
      <c r="A16" s="30" t="s">
        <v>14</v>
      </c>
      <c r="B16" s="146">
        <v>52</v>
      </c>
      <c r="C16" s="147">
        <v>92</v>
      </c>
      <c r="D16" s="147">
        <v>82</v>
      </c>
      <c r="E16" s="155">
        <f>SUM(B16:D16)</f>
        <v>226</v>
      </c>
      <c r="F16" s="147">
        <v>32980</v>
      </c>
      <c r="G16" s="147">
        <v>11000</v>
      </c>
      <c r="H16" s="147">
        <v>0</v>
      </c>
      <c r="I16" s="147">
        <v>4500</v>
      </c>
      <c r="J16" s="147">
        <v>0</v>
      </c>
      <c r="K16" s="147">
        <v>0</v>
      </c>
      <c r="L16" s="147">
        <v>4000</v>
      </c>
      <c r="M16" s="163">
        <f>SUM(F16:L16)</f>
        <v>52480</v>
      </c>
      <c r="N16" s="147">
        <v>0</v>
      </c>
      <c r="O16" s="149">
        <v>0</v>
      </c>
      <c r="P16" s="147">
        <v>0</v>
      </c>
      <c r="Q16" s="147">
        <v>0</v>
      </c>
      <c r="R16" s="202">
        <v>0</v>
      </c>
      <c r="S16" s="137">
        <v>0</v>
      </c>
      <c r="T16" s="183">
        <v>0</v>
      </c>
      <c r="U16" s="138">
        <v>0</v>
      </c>
      <c r="V16" s="192">
        <f t="shared" si="0"/>
        <v>0</v>
      </c>
      <c r="W16" s="147">
        <v>0</v>
      </c>
      <c r="X16" s="147">
        <v>0</v>
      </c>
      <c r="Y16" s="147">
        <v>0</v>
      </c>
      <c r="Z16" s="184">
        <v>0</v>
      </c>
      <c r="AA16" s="192" t="str">
        <f t="shared" si="1"/>
        <v>-</v>
      </c>
      <c r="AB16" s="146">
        <v>0</v>
      </c>
      <c r="AC16" s="147">
        <v>0</v>
      </c>
      <c r="AD16" s="147">
        <v>0</v>
      </c>
      <c r="AE16" s="123">
        <f t="shared" si="2"/>
        <v>0</v>
      </c>
    </row>
    <row r="17" spans="1:31" s="1" customFormat="1" ht="15" customHeight="1" x14ac:dyDescent="0.2">
      <c r="A17" s="30" t="s">
        <v>15</v>
      </c>
      <c r="B17" s="146">
        <v>58</v>
      </c>
      <c r="C17" s="147">
        <v>86</v>
      </c>
      <c r="D17" s="147">
        <v>117</v>
      </c>
      <c r="E17" s="155">
        <f>SUM(B17:D17)</f>
        <v>261</v>
      </c>
      <c r="F17" s="147">
        <f>14340+4950</f>
        <v>19290</v>
      </c>
      <c r="G17" s="147">
        <v>26400</v>
      </c>
      <c r="H17" s="147">
        <v>0</v>
      </c>
      <c r="I17" s="147">
        <v>0</v>
      </c>
      <c r="J17" s="147">
        <v>0</v>
      </c>
      <c r="K17" s="147">
        <v>4420</v>
      </c>
      <c r="L17" s="147">
        <v>0</v>
      </c>
      <c r="M17" s="163">
        <f>SUM(F17:L17)</f>
        <v>50110</v>
      </c>
      <c r="N17" s="147">
        <v>4</v>
      </c>
      <c r="O17" s="149">
        <v>0</v>
      </c>
      <c r="P17" s="147">
        <v>0</v>
      </c>
      <c r="Q17" s="147">
        <v>0</v>
      </c>
      <c r="R17" s="184">
        <v>0</v>
      </c>
      <c r="S17" s="137">
        <v>0</v>
      </c>
      <c r="T17" s="183">
        <v>0</v>
      </c>
      <c r="U17" s="138">
        <v>0</v>
      </c>
      <c r="V17" s="192">
        <f t="shared" si="0"/>
        <v>0</v>
      </c>
      <c r="W17" s="147">
        <v>0</v>
      </c>
      <c r="X17" s="147">
        <v>0</v>
      </c>
      <c r="Y17" s="147">
        <v>0</v>
      </c>
      <c r="Z17" s="184">
        <v>0</v>
      </c>
      <c r="AA17" s="192" t="str">
        <f t="shared" si="1"/>
        <v>-</v>
      </c>
      <c r="AB17" s="146">
        <v>0</v>
      </c>
      <c r="AC17" s="147">
        <v>0</v>
      </c>
      <c r="AD17" s="147">
        <v>0</v>
      </c>
      <c r="AE17" s="123">
        <f t="shared" si="2"/>
        <v>0</v>
      </c>
    </row>
    <row r="18" spans="1:31" s="1" customFormat="1" ht="15" customHeight="1" x14ac:dyDescent="0.2">
      <c r="A18" s="30" t="s">
        <v>16</v>
      </c>
      <c r="B18" s="146">
        <v>9</v>
      </c>
      <c r="C18" s="147">
        <v>17</v>
      </c>
      <c r="D18" s="147">
        <v>16</v>
      </c>
      <c r="E18" s="155">
        <f>SUM(B18:D18)</f>
        <v>42</v>
      </c>
      <c r="F18" s="147">
        <f>5690+1250</f>
        <v>6940</v>
      </c>
      <c r="G18" s="147">
        <v>22000</v>
      </c>
      <c r="H18" s="147">
        <v>0</v>
      </c>
      <c r="I18" s="147">
        <v>740</v>
      </c>
      <c r="J18" s="147">
        <v>0</v>
      </c>
      <c r="K18" s="147">
        <v>0</v>
      </c>
      <c r="L18" s="147">
        <v>0</v>
      </c>
      <c r="M18" s="163">
        <f>SUM(F18:L18)</f>
        <v>29680</v>
      </c>
      <c r="N18" s="154">
        <v>6</v>
      </c>
      <c r="O18" s="149">
        <v>0</v>
      </c>
      <c r="P18" s="147">
        <v>0</v>
      </c>
      <c r="Q18" s="147">
        <v>0</v>
      </c>
      <c r="R18" s="184">
        <v>0</v>
      </c>
      <c r="S18" s="137">
        <v>0</v>
      </c>
      <c r="T18" s="183">
        <v>0</v>
      </c>
      <c r="U18" s="138">
        <v>0</v>
      </c>
      <c r="V18" s="192">
        <f t="shared" si="0"/>
        <v>0</v>
      </c>
      <c r="W18" s="147">
        <v>0</v>
      </c>
      <c r="X18" s="147">
        <v>0</v>
      </c>
      <c r="Y18" s="147">
        <v>0</v>
      </c>
      <c r="Z18" s="184">
        <v>0</v>
      </c>
      <c r="AA18" s="192" t="str">
        <f t="shared" si="1"/>
        <v>-</v>
      </c>
      <c r="AB18" s="146">
        <v>0</v>
      </c>
      <c r="AC18" s="147">
        <v>0</v>
      </c>
      <c r="AD18" s="147">
        <v>0</v>
      </c>
      <c r="AE18" s="123">
        <f t="shared" si="2"/>
        <v>0</v>
      </c>
    </row>
    <row r="19" spans="1:31" s="1" customFormat="1" ht="15" customHeight="1" x14ac:dyDescent="0.2">
      <c r="A19" s="30" t="s">
        <v>17</v>
      </c>
      <c r="B19" s="146">
        <v>5</v>
      </c>
      <c r="C19" s="147">
        <v>3</v>
      </c>
      <c r="D19" s="147">
        <v>7</v>
      </c>
      <c r="E19" s="155">
        <f>SUM(B19:D19)</f>
        <v>15</v>
      </c>
      <c r="F19" s="147">
        <v>1920</v>
      </c>
      <c r="G19" s="147">
        <v>3000</v>
      </c>
      <c r="H19" s="147">
        <v>0</v>
      </c>
      <c r="I19" s="147">
        <v>0</v>
      </c>
      <c r="J19" s="147">
        <v>0</v>
      </c>
      <c r="K19" s="147">
        <v>520</v>
      </c>
      <c r="L19" s="147">
        <v>0</v>
      </c>
      <c r="M19" s="163">
        <f>SUM(F19:L19)</f>
        <v>5440</v>
      </c>
      <c r="N19" s="147">
        <v>2</v>
      </c>
      <c r="O19" s="149">
        <v>1</v>
      </c>
      <c r="P19" s="147">
        <v>0</v>
      </c>
      <c r="Q19" s="147">
        <v>0</v>
      </c>
      <c r="R19" s="184">
        <v>0</v>
      </c>
      <c r="S19" s="137">
        <v>0</v>
      </c>
      <c r="T19" s="183">
        <v>0</v>
      </c>
      <c r="U19" s="138">
        <v>0</v>
      </c>
      <c r="V19" s="192">
        <f t="shared" si="0"/>
        <v>0</v>
      </c>
      <c r="W19" s="147">
        <v>0</v>
      </c>
      <c r="X19" s="147">
        <v>0</v>
      </c>
      <c r="Y19" s="147">
        <v>0</v>
      </c>
      <c r="Z19" s="184">
        <v>0</v>
      </c>
      <c r="AA19" s="192" t="str">
        <f t="shared" si="1"/>
        <v>-</v>
      </c>
      <c r="AB19" s="146">
        <v>0</v>
      </c>
      <c r="AC19" s="147">
        <v>0</v>
      </c>
      <c r="AD19" s="147">
        <v>0</v>
      </c>
      <c r="AE19" s="123">
        <f t="shared" si="2"/>
        <v>0</v>
      </c>
    </row>
    <row r="20" spans="1:31" s="1" customFormat="1" ht="15" customHeight="1" x14ac:dyDescent="0.2">
      <c r="A20" s="30" t="s">
        <v>18</v>
      </c>
      <c r="B20" s="146">
        <v>13</v>
      </c>
      <c r="C20" s="147">
        <v>12</v>
      </c>
      <c r="D20" s="147">
        <v>12</v>
      </c>
      <c r="E20" s="155">
        <f>SUM(B20:D20)</f>
        <v>37</v>
      </c>
      <c r="F20" s="147">
        <f>3430+650</f>
        <v>4080</v>
      </c>
      <c r="G20" s="147">
        <v>5800</v>
      </c>
      <c r="H20" s="147">
        <v>0</v>
      </c>
      <c r="I20" s="147">
        <v>100</v>
      </c>
      <c r="J20" s="147">
        <v>0</v>
      </c>
      <c r="K20" s="147">
        <v>450</v>
      </c>
      <c r="L20" s="147">
        <v>0</v>
      </c>
      <c r="M20" s="163">
        <f>SUM(F20:L20)</f>
        <v>10430</v>
      </c>
      <c r="N20" s="147">
        <v>2</v>
      </c>
      <c r="O20" s="149">
        <v>1</v>
      </c>
      <c r="P20" s="147">
        <v>0</v>
      </c>
      <c r="Q20" s="147">
        <v>0</v>
      </c>
      <c r="R20" s="184">
        <v>0</v>
      </c>
      <c r="S20" s="137">
        <v>0</v>
      </c>
      <c r="T20" s="183">
        <v>0</v>
      </c>
      <c r="U20" s="138">
        <v>0</v>
      </c>
      <c r="V20" s="192">
        <f t="shared" si="0"/>
        <v>0</v>
      </c>
      <c r="W20" s="147">
        <v>0</v>
      </c>
      <c r="X20" s="147">
        <v>0</v>
      </c>
      <c r="Y20" s="147">
        <v>0</v>
      </c>
      <c r="Z20" s="184">
        <v>0</v>
      </c>
      <c r="AA20" s="192" t="str">
        <f t="shared" si="1"/>
        <v>-</v>
      </c>
      <c r="AB20" s="146">
        <v>0</v>
      </c>
      <c r="AC20" s="147">
        <v>0</v>
      </c>
      <c r="AD20" s="147">
        <v>0</v>
      </c>
      <c r="AE20" s="123">
        <f t="shared" si="2"/>
        <v>0</v>
      </c>
    </row>
    <row r="21" spans="1:31" s="1" customFormat="1" ht="15" customHeight="1" x14ac:dyDescent="0.2">
      <c r="A21" s="236"/>
      <c r="B21" s="158">
        <f t="shared" ref="B21:U21" si="5">SUM(B16:B20)</f>
        <v>137</v>
      </c>
      <c r="C21" s="157">
        <f t="shared" si="5"/>
        <v>210</v>
      </c>
      <c r="D21" s="159">
        <f t="shared" si="5"/>
        <v>234</v>
      </c>
      <c r="E21" s="157">
        <f t="shared" si="5"/>
        <v>581</v>
      </c>
      <c r="F21" s="157">
        <f t="shared" si="5"/>
        <v>65210</v>
      </c>
      <c r="G21" s="157">
        <f t="shared" si="5"/>
        <v>68200</v>
      </c>
      <c r="H21" s="157">
        <f t="shared" si="5"/>
        <v>0</v>
      </c>
      <c r="I21" s="157">
        <f t="shared" si="5"/>
        <v>5340</v>
      </c>
      <c r="J21" s="157">
        <f t="shared" si="5"/>
        <v>0</v>
      </c>
      <c r="K21" s="157">
        <f t="shared" si="5"/>
        <v>5390</v>
      </c>
      <c r="L21" s="157">
        <f t="shared" si="5"/>
        <v>4000</v>
      </c>
      <c r="M21" s="157">
        <f t="shared" si="5"/>
        <v>148140</v>
      </c>
      <c r="N21" s="157">
        <f t="shared" si="5"/>
        <v>14</v>
      </c>
      <c r="O21" s="162">
        <f t="shared" si="5"/>
        <v>2</v>
      </c>
      <c r="P21" s="157">
        <f t="shared" si="5"/>
        <v>0</v>
      </c>
      <c r="Q21" s="157">
        <f>SUM(Q16:Q20)</f>
        <v>0</v>
      </c>
      <c r="R21" s="159">
        <f t="shared" si="5"/>
        <v>0</v>
      </c>
      <c r="S21" s="160">
        <f t="shared" si="5"/>
        <v>0</v>
      </c>
      <c r="T21" s="159">
        <f>SUM(T16:T20)</f>
        <v>0</v>
      </c>
      <c r="U21" s="157">
        <f t="shared" si="5"/>
        <v>0</v>
      </c>
      <c r="V21" s="161">
        <f>IF(SUM(V16:V20)&gt;0,AVERAGEIF(V16:V20,"&lt;&gt;0"),0)</f>
        <v>0</v>
      </c>
      <c r="W21" s="157">
        <f>SUM(W16:W20)</f>
        <v>0</v>
      </c>
      <c r="X21" s="157">
        <f>SUM(X16:X20)</f>
        <v>0</v>
      </c>
      <c r="Y21" s="157">
        <f>SUM(Y16:Y20)</f>
        <v>0</v>
      </c>
      <c r="Z21" s="159">
        <f>SUM(Z16:Z20)</f>
        <v>0</v>
      </c>
      <c r="AA21" s="161">
        <f>IF(SUM(AA16:AA20),AVERAGEIF(AA16:AA20,"&lt;&gt;0"),0)</f>
        <v>0</v>
      </c>
      <c r="AB21" s="160">
        <f>SUM(AB16:AB20)</f>
        <v>0</v>
      </c>
      <c r="AC21" s="157">
        <f>SUM(AC16:AC20)</f>
        <v>0</v>
      </c>
      <c r="AD21" s="157">
        <f>SUM(AD16:AD20)</f>
        <v>0</v>
      </c>
      <c r="AE21" s="162">
        <f>SUM(AE16:AE20)</f>
        <v>0</v>
      </c>
    </row>
    <row r="22" spans="1:31" s="1" customFormat="1" ht="15" customHeight="1" x14ac:dyDescent="0.2">
      <c r="A22" s="30" t="s">
        <v>19</v>
      </c>
      <c r="B22" s="142">
        <v>21</v>
      </c>
      <c r="C22" s="139">
        <v>35</v>
      </c>
      <c r="D22" s="139">
        <v>50</v>
      </c>
      <c r="E22" s="155">
        <f>SUM(B22:D22)</f>
        <v>106</v>
      </c>
      <c r="F22" s="139">
        <v>8570</v>
      </c>
      <c r="G22" s="139">
        <v>21000</v>
      </c>
      <c r="H22" s="147">
        <v>0</v>
      </c>
      <c r="I22" s="139">
        <v>2750</v>
      </c>
      <c r="J22" s="139">
        <v>0</v>
      </c>
      <c r="K22" s="139">
        <v>3000</v>
      </c>
      <c r="L22" s="139">
        <v>0</v>
      </c>
      <c r="M22" s="163">
        <f>SUM(F22:L22)</f>
        <v>35320</v>
      </c>
      <c r="N22" s="139">
        <v>0</v>
      </c>
      <c r="O22" s="143">
        <v>0</v>
      </c>
      <c r="P22" s="139">
        <v>0</v>
      </c>
      <c r="Q22" s="139">
        <v>0</v>
      </c>
      <c r="R22" s="185">
        <v>0</v>
      </c>
      <c r="S22" s="137">
        <v>0</v>
      </c>
      <c r="T22" s="183">
        <v>0</v>
      </c>
      <c r="U22" s="138">
        <v>0</v>
      </c>
      <c r="V22" s="192">
        <f t="shared" si="0"/>
        <v>0</v>
      </c>
      <c r="W22" s="139">
        <v>0</v>
      </c>
      <c r="X22" s="139">
        <v>0</v>
      </c>
      <c r="Y22" s="139">
        <v>0</v>
      </c>
      <c r="Z22" s="185">
        <v>0</v>
      </c>
      <c r="AA22" s="192" t="str">
        <f t="shared" si="1"/>
        <v>-</v>
      </c>
      <c r="AB22" s="142">
        <v>0</v>
      </c>
      <c r="AC22" s="139">
        <v>0</v>
      </c>
      <c r="AD22" s="139">
        <v>0</v>
      </c>
      <c r="AE22" s="123">
        <f t="shared" si="2"/>
        <v>0</v>
      </c>
    </row>
    <row r="23" spans="1:31" s="1" customFormat="1" ht="15" customHeight="1" x14ac:dyDescent="0.2">
      <c r="A23" s="30" t="s">
        <v>20</v>
      </c>
      <c r="B23" s="142">
        <v>0</v>
      </c>
      <c r="C23" s="139">
        <v>0</v>
      </c>
      <c r="D23" s="139">
        <v>0</v>
      </c>
      <c r="E23" s="155">
        <f>SUM(B23:D23)</f>
        <v>0</v>
      </c>
      <c r="F23" s="139">
        <v>0</v>
      </c>
      <c r="G23" s="139">
        <v>0</v>
      </c>
      <c r="H23" s="147">
        <v>0</v>
      </c>
      <c r="I23" s="139">
        <v>0</v>
      </c>
      <c r="J23" s="139">
        <v>0</v>
      </c>
      <c r="K23" s="139">
        <v>0</v>
      </c>
      <c r="L23" s="139">
        <v>0</v>
      </c>
      <c r="M23" s="163">
        <f>SUM(F23:L23)</f>
        <v>0</v>
      </c>
      <c r="N23" s="139">
        <v>0</v>
      </c>
      <c r="O23" s="143">
        <v>0</v>
      </c>
      <c r="P23" s="139">
        <v>0</v>
      </c>
      <c r="Q23" s="139">
        <v>0</v>
      </c>
      <c r="R23" s="185">
        <v>0</v>
      </c>
      <c r="S23" s="137">
        <v>0</v>
      </c>
      <c r="T23" s="183">
        <v>0</v>
      </c>
      <c r="U23" s="138">
        <v>0</v>
      </c>
      <c r="V23" s="192">
        <f t="shared" si="0"/>
        <v>0</v>
      </c>
      <c r="W23" s="139">
        <v>0</v>
      </c>
      <c r="X23" s="139">
        <v>0</v>
      </c>
      <c r="Y23" s="139">
        <v>0</v>
      </c>
      <c r="Z23" s="185">
        <v>0</v>
      </c>
      <c r="AA23" s="192" t="str">
        <f t="shared" si="1"/>
        <v>-</v>
      </c>
      <c r="AB23" s="142">
        <v>0</v>
      </c>
      <c r="AC23" s="139">
        <v>0</v>
      </c>
      <c r="AD23" s="139">
        <v>0</v>
      </c>
      <c r="AE23" s="123">
        <f t="shared" si="2"/>
        <v>0</v>
      </c>
    </row>
    <row r="24" spans="1:31" s="1" customFormat="1" ht="15" customHeight="1" x14ac:dyDescent="0.2">
      <c r="A24" s="30" t="s">
        <v>21</v>
      </c>
      <c r="B24" s="142">
        <v>40</v>
      </c>
      <c r="C24" s="139">
        <v>64</v>
      </c>
      <c r="D24" s="139">
        <v>54</v>
      </c>
      <c r="E24" s="155">
        <f>SUM(B24:D24)</f>
        <v>158</v>
      </c>
      <c r="F24" s="139">
        <v>21240</v>
      </c>
      <c r="G24" s="139">
        <v>25800</v>
      </c>
      <c r="H24" s="147">
        <v>0</v>
      </c>
      <c r="I24" s="139">
        <v>3950</v>
      </c>
      <c r="J24" s="139">
        <v>0</v>
      </c>
      <c r="K24" s="139">
        <v>8120</v>
      </c>
      <c r="L24" s="139">
        <v>0</v>
      </c>
      <c r="M24" s="163">
        <f>SUM(F24:L24)</f>
        <v>59110</v>
      </c>
      <c r="N24" s="139">
        <v>1</v>
      </c>
      <c r="O24" s="143">
        <v>1</v>
      </c>
      <c r="P24" s="139">
        <v>0</v>
      </c>
      <c r="Q24" s="139">
        <v>0</v>
      </c>
      <c r="R24" s="185">
        <v>0</v>
      </c>
      <c r="S24" s="137">
        <v>0</v>
      </c>
      <c r="T24" s="183">
        <v>0</v>
      </c>
      <c r="U24" s="138">
        <v>0</v>
      </c>
      <c r="V24" s="192">
        <f t="shared" si="0"/>
        <v>0</v>
      </c>
      <c r="W24" s="139">
        <v>0</v>
      </c>
      <c r="X24" s="139">
        <v>0</v>
      </c>
      <c r="Y24" s="139">
        <v>0</v>
      </c>
      <c r="Z24" s="185">
        <v>0</v>
      </c>
      <c r="AA24" s="192" t="str">
        <f t="shared" si="1"/>
        <v>-</v>
      </c>
      <c r="AB24" s="142">
        <v>0</v>
      </c>
      <c r="AC24" s="139">
        <v>0</v>
      </c>
      <c r="AD24" s="139">
        <v>0</v>
      </c>
      <c r="AE24" s="123">
        <f t="shared" si="2"/>
        <v>0</v>
      </c>
    </row>
    <row r="25" spans="1:31" s="1" customFormat="1" ht="15" customHeight="1" x14ac:dyDescent="0.2">
      <c r="A25" s="30" t="s">
        <v>109</v>
      </c>
      <c r="B25" s="142">
        <v>9</v>
      </c>
      <c r="C25" s="139">
        <v>8</v>
      </c>
      <c r="D25" s="139">
        <v>10</v>
      </c>
      <c r="E25" s="155">
        <f>SUM(B25:D25)</f>
        <v>27</v>
      </c>
      <c r="F25" s="139">
        <v>2400</v>
      </c>
      <c r="G25" s="139">
        <v>9550</v>
      </c>
      <c r="H25" s="147">
        <v>0</v>
      </c>
      <c r="I25" s="139">
        <v>0</v>
      </c>
      <c r="J25" s="139">
        <v>0</v>
      </c>
      <c r="K25" s="139">
        <v>0</v>
      </c>
      <c r="L25" s="139">
        <v>0</v>
      </c>
      <c r="M25" s="163">
        <f>SUM(F25:L25)</f>
        <v>11950</v>
      </c>
      <c r="N25" s="139">
        <v>0</v>
      </c>
      <c r="O25" s="143">
        <v>0</v>
      </c>
      <c r="P25" s="139">
        <v>0</v>
      </c>
      <c r="Q25" s="139">
        <v>0</v>
      </c>
      <c r="R25" s="185">
        <v>0</v>
      </c>
      <c r="S25" s="137">
        <v>0</v>
      </c>
      <c r="T25" s="183">
        <v>0</v>
      </c>
      <c r="U25" s="138">
        <v>0</v>
      </c>
      <c r="V25" s="192">
        <f t="shared" si="0"/>
        <v>0</v>
      </c>
      <c r="W25" s="139">
        <v>0</v>
      </c>
      <c r="X25" s="139">
        <v>0</v>
      </c>
      <c r="Y25" s="139">
        <v>0</v>
      </c>
      <c r="Z25" s="185">
        <v>0</v>
      </c>
      <c r="AA25" s="192" t="str">
        <f t="shared" si="1"/>
        <v>-</v>
      </c>
      <c r="AB25" s="142">
        <v>0</v>
      </c>
      <c r="AC25" s="139">
        <v>0</v>
      </c>
      <c r="AD25" s="139">
        <v>0</v>
      </c>
      <c r="AE25" s="123">
        <f t="shared" si="2"/>
        <v>0</v>
      </c>
    </row>
    <row r="26" spans="1:31" s="1" customFormat="1" ht="15" customHeight="1" x14ac:dyDescent="0.2">
      <c r="A26" s="236"/>
      <c r="B26" s="160">
        <f t="shared" ref="B26:U26" si="6">SUM(B22:B25)</f>
        <v>70</v>
      </c>
      <c r="C26" s="157">
        <f t="shared" si="6"/>
        <v>107</v>
      </c>
      <c r="D26" s="157">
        <f t="shared" si="6"/>
        <v>114</v>
      </c>
      <c r="E26" s="157">
        <f t="shared" si="6"/>
        <v>291</v>
      </c>
      <c r="F26" s="157">
        <f t="shared" si="6"/>
        <v>32210</v>
      </c>
      <c r="G26" s="157">
        <f t="shared" si="6"/>
        <v>56350</v>
      </c>
      <c r="H26" s="157">
        <f t="shared" si="6"/>
        <v>0</v>
      </c>
      <c r="I26" s="157">
        <f t="shared" si="6"/>
        <v>6700</v>
      </c>
      <c r="J26" s="157">
        <f t="shared" si="6"/>
        <v>0</v>
      </c>
      <c r="K26" s="157">
        <f t="shared" si="6"/>
        <v>11120</v>
      </c>
      <c r="L26" s="157">
        <f t="shared" si="6"/>
        <v>0</v>
      </c>
      <c r="M26" s="157">
        <f t="shared" si="6"/>
        <v>106380</v>
      </c>
      <c r="N26" s="157">
        <f t="shared" si="6"/>
        <v>1</v>
      </c>
      <c r="O26" s="162">
        <f t="shared" si="6"/>
        <v>1</v>
      </c>
      <c r="P26" s="157">
        <f t="shared" si="6"/>
        <v>0</v>
      </c>
      <c r="Q26" s="157">
        <f>SUM(Q22:Q25)</f>
        <v>0</v>
      </c>
      <c r="R26" s="159">
        <f t="shared" si="6"/>
        <v>0</v>
      </c>
      <c r="S26" s="160">
        <f t="shared" si="6"/>
        <v>0</v>
      </c>
      <c r="T26" s="159">
        <f>SUM(T22:T25)</f>
        <v>0</v>
      </c>
      <c r="U26" s="157">
        <f t="shared" si="6"/>
        <v>0</v>
      </c>
      <c r="V26" s="161">
        <f>IF(SUM(V22:V25)&gt;0,AVERAGEIF(V22:V25,"&lt;&gt;0"),0)</f>
        <v>0</v>
      </c>
      <c r="W26" s="157">
        <f>SUM(W22:W25)</f>
        <v>0</v>
      </c>
      <c r="X26" s="157">
        <f>SUM(X22:X25)</f>
        <v>0</v>
      </c>
      <c r="Y26" s="157">
        <f>SUM(Y22:Y25)</f>
        <v>0</v>
      </c>
      <c r="Z26" s="159">
        <f>SUM(Z22:Z25)</f>
        <v>0</v>
      </c>
      <c r="AA26" s="161">
        <f>IF(SUM(AA22:AA25),AVERAGEIF(AA22:AA25,"&lt;&gt;0"),0)</f>
        <v>0</v>
      </c>
      <c r="AB26" s="160">
        <f>SUM(AB22:AB25)</f>
        <v>0</v>
      </c>
      <c r="AC26" s="157">
        <f>SUM(AC22:AC25)</f>
        <v>0</v>
      </c>
      <c r="AD26" s="157">
        <f>SUM(AD22:AD25)</f>
        <v>0</v>
      </c>
      <c r="AE26" s="162">
        <f>SUM(AE22:AE25)</f>
        <v>0</v>
      </c>
    </row>
    <row r="27" spans="1:31" s="1" customFormat="1" ht="15" customHeight="1" x14ac:dyDescent="0.2">
      <c r="A27" s="30" t="s">
        <v>108</v>
      </c>
      <c r="B27" s="137">
        <v>32</v>
      </c>
      <c r="C27" s="138">
        <v>32</v>
      </c>
      <c r="D27" s="138">
        <v>50</v>
      </c>
      <c r="E27" s="155">
        <f t="shared" ref="E27:E35" si="7">SUM(B27:D27)</f>
        <v>114</v>
      </c>
      <c r="F27" s="139">
        <v>7550</v>
      </c>
      <c r="G27" s="139">
        <v>5750</v>
      </c>
      <c r="H27" s="147">
        <v>0</v>
      </c>
      <c r="I27" s="139">
        <v>1380</v>
      </c>
      <c r="J27" s="139">
        <v>0</v>
      </c>
      <c r="K27" s="139">
        <v>0</v>
      </c>
      <c r="L27" s="139">
        <v>0</v>
      </c>
      <c r="M27" s="163">
        <f t="shared" ref="M27:M35" si="8">SUM(F27:L27)</f>
        <v>14680</v>
      </c>
      <c r="N27" s="138">
        <v>3</v>
      </c>
      <c r="O27" s="140">
        <v>5</v>
      </c>
      <c r="P27" s="138">
        <v>0</v>
      </c>
      <c r="Q27" s="138">
        <v>0</v>
      </c>
      <c r="R27" s="183">
        <v>0</v>
      </c>
      <c r="S27" s="137">
        <v>0</v>
      </c>
      <c r="T27" s="183">
        <v>0</v>
      </c>
      <c r="U27" s="138">
        <v>0</v>
      </c>
      <c r="V27" s="192">
        <f t="shared" si="0"/>
        <v>0</v>
      </c>
      <c r="W27" s="138">
        <v>0</v>
      </c>
      <c r="X27" s="138">
        <v>0</v>
      </c>
      <c r="Y27" s="138">
        <v>0</v>
      </c>
      <c r="Z27" s="183">
        <v>0</v>
      </c>
      <c r="AA27" s="192" t="str">
        <f t="shared" si="1"/>
        <v>-</v>
      </c>
      <c r="AB27" s="142">
        <v>0</v>
      </c>
      <c r="AC27" s="139">
        <v>0</v>
      </c>
      <c r="AD27" s="139">
        <v>0</v>
      </c>
      <c r="AE27" s="123">
        <f t="shared" si="2"/>
        <v>0</v>
      </c>
    </row>
    <row r="28" spans="1:31" s="1" customFormat="1" ht="15" customHeight="1" x14ac:dyDescent="0.2">
      <c r="A28" s="30" t="s">
        <v>22</v>
      </c>
      <c r="B28" s="146">
        <v>4</v>
      </c>
      <c r="C28" s="147">
        <v>12</v>
      </c>
      <c r="D28" s="147">
        <v>19</v>
      </c>
      <c r="E28" s="155">
        <f t="shared" si="7"/>
        <v>35</v>
      </c>
      <c r="F28" s="147">
        <v>1060</v>
      </c>
      <c r="G28" s="147">
        <v>2880</v>
      </c>
      <c r="H28" s="147">
        <v>0</v>
      </c>
      <c r="I28" s="147">
        <v>0</v>
      </c>
      <c r="J28" s="147">
        <v>0</v>
      </c>
      <c r="K28" s="147">
        <v>0</v>
      </c>
      <c r="L28" s="147">
        <v>0</v>
      </c>
      <c r="M28" s="163">
        <f t="shared" si="8"/>
        <v>3940</v>
      </c>
      <c r="N28" s="147">
        <v>0</v>
      </c>
      <c r="O28" s="149">
        <v>0</v>
      </c>
      <c r="P28" s="147">
        <v>0</v>
      </c>
      <c r="Q28" s="147">
        <v>0</v>
      </c>
      <c r="R28" s="184">
        <v>0</v>
      </c>
      <c r="S28" s="137">
        <v>0</v>
      </c>
      <c r="T28" s="183">
        <v>0</v>
      </c>
      <c r="U28" s="138">
        <v>0</v>
      </c>
      <c r="V28" s="192">
        <f t="shared" si="0"/>
        <v>0</v>
      </c>
      <c r="W28" s="147">
        <v>0</v>
      </c>
      <c r="X28" s="147">
        <v>0</v>
      </c>
      <c r="Y28" s="147">
        <v>0</v>
      </c>
      <c r="Z28" s="184">
        <v>0</v>
      </c>
      <c r="AA28" s="192" t="str">
        <f t="shared" si="1"/>
        <v>-</v>
      </c>
      <c r="AB28" s="146">
        <v>0</v>
      </c>
      <c r="AC28" s="147">
        <v>0</v>
      </c>
      <c r="AD28" s="147">
        <v>0</v>
      </c>
      <c r="AE28" s="123">
        <f t="shared" si="2"/>
        <v>0</v>
      </c>
    </row>
    <row r="29" spans="1:31" s="1" customFormat="1" ht="15" customHeight="1" x14ac:dyDescent="0.2">
      <c r="A29" s="30" t="s">
        <v>23</v>
      </c>
      <c r="B29" s="146">
        <v>32</v>
      </c>
      <c r="C29" s="147">
        <v>47</v>
      </c>
      <c r="D29" s="147">
        <v>38</v>
      </c>
      <c r="E29" s="155">
        <f t="shared" si="7"/>
        <v>117</v>
      </c>
      <c r="F29" s="147">
        <v>8910</v>
      </c>
      <c r="G29" s="147">
        <v>8400</v>
      </c>
      <c r="H29" s="147">
        <v>0</v>
      </c>
      <c r="I29" s="147">
        <v>2200</v>
      </c>
      <c r="J29" s="147">
        <v>0</v>
      </c>
      <c r="K29" s="147">
        <v>0</v>
      </c>
      <c r="L29" s="147">
        <v>0</v>
      </c>
      <c r="M29" s="163">
        <f t="shared" si="8"/>
        <v>19510</v>
      </c>
      <c r="N29" s="147">
        <v>0</v>
      </c>
      <c r="O29" s="149">
        <v>1</v>
      </c>
      <c r="P29" s="147">
        <v>0</v>
      </c>
      <c r="Q29" s="147">
        <v>0</v>
      </c>
      <c r="R29" s="184">
        <v>0</v>
      </c>
      <c r="S29" s="137">
        <v>0</v>
      </c>
      <c r="T29" s="183">
        <v>0</v>
      </c>
      <c r="U29" s="138">
        <v>0</v>
      </c>
      <c r="V29" s="192">
        <f t="shared" si="0"/>
        <v>0</v>
      </c>
      <c r="W29" s="147">
        <v>0</v>
      </c>
      <c r="X29" s="147">
        <v>0</v>
      </c>
      <c r="Y29" s="147">
        <v>0</v>
      </c>
      <c r="Z29" s="184">
        <v>0</v>
      </c>
      <c r="AA29" s="192" t="str">
        <f t="shared" si="1"/>
        <v>-</v>
      </c>
      <c r="AB29" s="146">
        <v>0</v>
      </c>
      <c r="AC29" s="147">
        <v>0</v>
      </c>
      <c r="AD29" s="147">
        <v>0</v>
      </c>
      <c r="AE29" s="123">
        <f t="shared" si="2"/>
        <v>0</v>
      </c>
    </row>
    <row r="30" spans="1:31" s="1" customFormat="1" ht="15" customHeight="1" x14ac:dyDescent="0.2">
      <c r="A30" s="30" t="s">
        <v>24</v>
      </c>
      <c r="B30" s="146">
        <v>15</v>
      </c>
      <c r="C30" s="147">
        <v>37</v>
      </c>
      <c r="D30" s="147">
        <v>57</v>
      </c>
      <c r="E30" s="155">
        <f t="shared" si="7"/>
        <v>109</v>
      </c>
      <c r="F30" s="150">
        <v>0</v>
      </c>
      <c r="G30" s="150">
        <v>0</v>
      </c>
      <c r="H30" s="147">
        <v>0</v>
      </c>
      <c r="I30" s="150">
        <v>0</v>
      </c>
      <c r="J30" s="150">
        <v>0</v>
      </c>
      <c r="K30" s="150">
        <v>0</v>
      </c>
      <c r="L30" s="150">
        <v>0</v>
      </c>
      <c r="M30" s="163">
        <f t="shared" si="8"/>
        <v>0</v>
      </c>
      <c r="N30" s="147">
        <v>0</v>
      </c>
      <c r="O30" s="149">
        <v>0</v>
      </c>
      <c r="P30" s="147">
        <v>0</v>
      </c>
      <c r="Q30" s="147">
        <v>0</v>
      </c>
      <c r="R30" s="184">
        <v>0</v>
      </c>
      <c r="S30" s="137">
        <v>0</v>
      </c>
      <c r="T30" s="183">
        <v>0</v>
      </c>
      <c r="U30" s="138">
        <v>0</v>
      </c>
      <c r="V30" s="192">
        <f t="shared" si="0"/>
        <v>0</v>
      </c>
      <c r="W30" s="147">
        <v>0</v>
      </c>
      <c r="X30" s="147">
        <v>0</v>
      </c>
      <c r="Y30" s="147">
        <v>0</v>
      </c>
      <c r="Z30" s="184">
        <v>0</v>
      </c>
      <c r="AA30" s="192" t="str">
        <f t="shared" si="1"/>
        <v>-</v>
      </c>
      <c r="AB30" s="125">
        <v>0</v>
      </c>
      <c r="AC30" s="150">
        <v>0</v>
      </c>
      <c r="AD30" s="150">
        <v>0</v>
      </c>
      <c r="AE30" s="123">
        <f t="shared" si="2"/>
        <v>0</v>
      </c>
    </row>
    <row r="31" spans="1:31" s="1" customFormat="1" ht="14.25" customHeight="1" x14ac:dyDescent="0.2">
      <c r="A31" s="30" t="s">
        <v>106</v>
      </c>
      <c r="B31" s="146">
        <v>8</v>
      </c>
      <c r="C31" s="147">
        <v>11</v>
      </c>
      <c r="D31" s="147">
        <v>25</v>
      </c>
      <c r="E31" s="155">
        <f t="shared" si="7"/>
        <v>44</v>
      </c>
      <c r="F31" s="147">
        <v>0</v>
      </c>
      <c r="G31" s="147">
        <v>0</v>
      </c>
      <c r="H31" s="147">
        <v>0</v>
      </c>
      <c r="I31" s="147">
        <v>450</v>
      </c>
      <c r="J31" s="147">
        <v>0</v>
      </c>
      <c r="K31" s="147">
        <v>610</v>
      </c>
      <c r="L31" s="147">
        <v>0</v>
      </c>
      <c r="M31" s="163">
        <f t="shared" si="8"/>
        <v>1060</v>
      </c>
      <c r="N31" s="147">
        <v>0</v>
      </c>
      <c r="O31" s="149">
        <v>0</v>
      </c>
      <c r="P31" s="147">
        <v>0</v>
      </c>
      <c r="Q31" s="147">
        <v>0</v>
      </c>
      <c r="R31" s="184">
        <v>0</v>
      </c>
      <c r="S31" s="137">
        <v>0</v>
      </c>
      <c r="T31" s="183">
        <v>0</v>
      </c>
      <c r="U31" s="138">
        <v>0</v>
      </c>
      <c r="V31" s="192">
        <f t="shared" si="0"/>
        <v>0</v>
      </c>
      <c r="W31" s="147">
        <v>0</v>
      </c>
      <c r="X31" s="147">
        <v>0</v>
      </c>
      <c r="Y31" s="147">
        <v>0</v>
      </c>
      <c r="Z31" s="184">
        <v>0</v>
      </c>
      <c r="AA31" s="192" t="str">
        <f t="shared" si="1"/>
        <v>-</v>
      </c>
      <c r="AB31" s="146">
        <v>0</v>
      </c>
      <c r="AC31" s="147">
        <v>0</v>
      </c>
      <c r="AD31" s="147">
        <v>0</v>
      </c>
      <c r="AE31" s="123">
        <f t="shared" si="2"/>
        <v>0</v>
      </c>
    </row>
    <row r="32" spans="1:31" s="1" customFormat="1" ht="14.25" customHeight="1" x14ac:dyDescent="0.2">
      <c r="A32" s="30" t="s">
        <v>25</v>
      </c>
      <c r="B32" s="146">
        <v>8</v>
      </c>
      <c r="C32" s="147">
        <v>15</v>
      </c>
      <c r="D32" s="147">
        <v>44</v>
      </c>
      <c r="E32" s="155">
        <f t="shared" si="7"/>
        <v>67</v>
      </c>
      <c r="F32" s="147">
        <v>3770</v>
      </c>
      <c r="G32" s="147">
        <v>10350</v>
      </c>
      <c r="H32" s="147">
        <v>0</v>
      </c>
      <c r="I32" s="147">
        <v>0</v>
      </c>
      <c r="J32" s="147">
        <v>0</v>
      </c>
      <c r="K32" s="147">
        <v>0</v>
      </c>
      <c r="L32" s="147">
        <v>0</v>
      </c>
      <c r="M32" s="163">
        <f t="shared" si="8"/>
        <v>14120</v>
      </c>
      <c r="N32" s="147">
        <v>6</v>
      </c>
      <c r="O32" s="149">
        <v>0</v>
      </c>
      <c r="P32" s="147">
        <v>0</v>
      </c>
      <c r="Q32" s="147">
        <v>0</v>
      </c>
      <c r="R32" s="184">
        <v>0</v>
      </c>
      <c r="S32" s="137">
        <v>0</v>
      </c>
      <c r="T32" s="183">
        <v>0</v>
      </c>
      <c r="U32" s="138">
        <v>0</v>
      </c>
      <c r="V32" s="192">
        <f t="shared" si="0"/>
        <v>0</v>
      </c>
      <c r="W32" s="147">
        <v>0</v>
      </c>
      <c r="X32" s="147">
        <v>0</v>
      </c>
      <c r="Y32" s="147">
        <v>0</v>
      </c>
      <c r="Z32" s="184">
        <v>0</v>
      </c>
      <c r="AA32" s="192" t="str">
        <f t="shared" si="1"/>
        <v>-</v>
      </c>
      <c r="AB32" s="146">
        <v>0</v>
      </c>
      <c r="AC32" s="147">
        <v>0</v>
      </c>
      <c r="AD32" s="147">
        <v>0</v>
      </c>
      <c r="AE32" s="123">
        <f t="shared" si="2"/>
        <v>0</v>
      </c>
    </row>
    <row r="33" spans="1:31" s="1" customFormat="1" ht="14.25" customHeight="1" x14ac:dyDescent="0.2">
      <c r="A33" s="30" t="s">
        <v>26</v>
      </c>
      <c r="B33" s="146">
        <v>23</v>
      </c>
      <c r="C33" s="147">
        <v>31</v>
      </c>
      <c r="D33" s="147">
        <v>29</v>
      </c>
      <c r="E33" s="155">
        <f t="shared" si="7"/>
        <v>83</v>
      </c>
      <c r="F33" s="147">
        <v>10070</v>
      </c>
      <c r="G33" s="147">
        <v>4000</v>
      </c>
      <c r="H33" s="147">
        <v>0</v>
      </c>
      <c r="I33" s="147">
        <v>0</v>
      </c>
      <c r="J33" s="147">
        <v>0</v>
      </c>
      <c r="K33" s="147">
        <v>0</v>
      </c>
      <c r="L33" s="147">
        <v>0</v>
      </c>
      <c r="M33" s="163">
        <f t="shared" si="8"/>
        <v>14070</v>
      </c>
      <c r="N33" s="147">
        <v>4</v>
      </c>
      <c r="O33" s="149">
        <v>2</v>
      </c>
      <c r="P33" s="147">
        <v>0</v>
      </c>
      <c r="Q33" s="147">
        <v>0</v>
      </c>
      <c r="R33" s="184">
        <v>0</v>
      </c>
      <c r="S33" s="137">
        <v>0</v>
      </c>
      <c r="T33" s="183">
        <v>0</v>
      </c>
      <c r="U33" s="138">
        <v>0</v>
      </c>
      <c r="V33" s="192">
        <f t="shared" si="0"/>
        <v>0</v>
      </c>
      <c r="W33" s="147">
        <v>0</v>
      </c>
      <c r="X33" s="147">
        <v>0</v>
      </c>
      <c r="Y33" s="147">
        <v>0</v>
      </c>
      <c r="Z33" s="184">
        <v>0</v>
      </c>
      <c r="AA33" s="192" t="str">
        <f t="shared" si="1"/>
        <v>-</v>
      </c>
      <c r="AB33" s="146">
        <v>0</v>
      </c>
      <c r="AC33" s="147">
        <v>0</v>
      </c>
      <c r="AD33" s="147">
        <v>0</v>
      </c>
      <c r="AE33" s="123">
        <f t="shared" si="2"/>
        <v>0</v>
      </c>
    </row>
    <row r="34" spans="1:31" s="1" customFormat="1" ht="14.25" customHeight="1" x14ac:dyDescent="0.2">
      <c r="A34" s="30" t="s">
        <v>58</v>
      </c>
      <c r="B34" s="137">
        <v>11</v>
      </c>
      <c r="C34" s="138">
        <v>12</v>
      </c>
      <c r="D34" s="138">
        <v>16</v>
      </c>
      <c r="E34" s="155">
        <f t="shared" si="7"/>
        <v>39</v>
      </c>
      <c r="F34" s="138">
        <v>6660</v>
      </c>
      <c r="G34" s="138">
        <v>1300</v>
      </c>
      <c r="H34" s="147">
        <v>0</v>
      </c>
      <c r="I34" s="138">
        <v>0</v>
      </c>
      <c r="J34" s="138">
        <v>0</v>
      </c>
      <c r="K34" s="138">
        <v>0</v>
      </c>
      <c r="L34" s="138">
        <v>0</v>
      </c>
      <c r="M34" s="163">
        <f t="shared" si="8"/>
        <v>7960</v>
      </c>
      <c r="N34" s="138">
        <v>7</v>
      </c>
      <c r="O34" s="140">
        <v>0</v>
      </c>
      <c r="P34" s="138">
        <v>0</v>
      </c>
      <c r="Q34" s="138">
        <v>0</v>
      </c>
      <c r="R34" s="183">
        <v>0</v>
      </c>
      <c r="S34" s="137">
        <v>0</v>
      </c>
      <c r="T34" s="183">
        <v>0</v>
      </c>
      <c r="U34" s="138">
        <v>0</v>
      </c>
      <c r="V34" s="192">
        <f t="shared" si="0"/>
        <v>0</v>
      </c>
      <c r="W34" s="138">
        <v>0</v>
      </c>
      <c r="X34" s="138">
        <v>0</v>
      </c>
      <c r="Y34" s="138">
        <v>0</v>
      </c>
      <c r="Z34" s="183">
        <v>0</v>
      </c>
      <c r="AA34" s="192" t="str">
        <f t="shared" si="1"/>
        <v>-</v>
      </c>
      <c r="AB34" s="137">
        <v>0</v>
      </c>
      <c r="AC34" s="138">
        <v>0</v>
      </c>
      <c r="AD34" s="138">
        <v>0</v>
      </c>
      <c r="AE34" s="123">
        <f t="shared" si="2"/>
        <v>0</v>
      </c>
    </row>
    <row r="35" spans="1:31" s="1" customFormat="1" ht="14.25" customHeight="1" x14ac:dyDescent="0.2">
      <c r="A35" s="30" t="s">
        <v>36</v>
      </c>
      <c r="B35" s="137">
        <v>4</v>
      </c>
      <c r="C35" s="138">
        <v>6</v>
      </c>
      <c r="D35" s="138">
        <v>8</v>
      </c>
      <c r="E35" s="155">
        <f t="shared" si="7"/>
        <v>18</v>
      </c>
      <c r="F35" s="138">
        <v>1400</v>
      </c>
      <c r="G35" s="138">
        <v>1500</v>
      </c>
      <c r="H35" s="147">
        <v>0</v>
      </c>
      <c r="I35" s="138">
        <v>0</v>
      </c>
      <c r="J35" s="138">
        <v>0</v>
      </c>
      <c r="K35" s="138">
        <v>0</v>
      </c>
      <c r="L35" s="138">
        <v>0</v>
      </c>
      <c r="M35" s="163">
        <f t="shared" si="8"/>
        <v>2900</v>
      </c>
      <c r="N35" s="138">
        <v>0</v>
      </c>
      <c r="O35" s="140">
        <v>0</v>
      </c>
      <c r="P35" s="138">
        <v>0</v>
      </c>
      <c r="Q35" s="138">
        <v>0</v>
      </c>
      <c r="R35" s="183">
        <v>0</v>
      </c>
      <c r="S35" s="137">
        <v>0</v>
      </c>
      <c r="T35" s="183">
        <v>0</v>
      </c>
      <c r="U35" s="138">
        <v>0</v>
      </c>
      <c r="V35" s="192">
        <f t="shared" si="0"/>
        <v>0</v>
      </c>
      <c r="W35" s="138">
        <v>0</v>
      </c>
      <c r="X35" s="138">
        <v>0</v>
      </c>
      <c r="Y35" s="138">
        <v>0</v>
      </c>
      <c r="Z35" s="183">
        <v>0</v>
      </c>
      <c r="AA35" s="192" t="str">
        <f t="shared" si="1"/>
        <v>-</v>
      </c>
      <c r="AB35" s="137">
        <v>0</v>
      </c>
      <c r="AC35" s="138">
        <v>0</v>
      </c>
      <c r="AD35" s="138">
        <v>0</v>
      </c>
      <c r="AE35" s="123">
        <f t="shared" si="2"/>
        <v>0</v>
      </c>
    </row>
    <row r="36" spans="1:31" s="1" customFormat="1" ht="14.25" customHeight="1" x14ac:dyDescent="0.2">
      <c r="A36" s="236"/>
      <c r="B36" s="166">
        <f t="shared" ref="B36:U36" si="9">SUM(B27:B35)</f>
        <v>137</v>
      </c>
      <c r="C36" s="155">
        <f t="shared" si="9"/>
        <v>203</v>
      </c>
      <c r="D36" s="155">
        <f t="shared" si="9"/>
        <v>286</v>
      </c>
      <c r="E36" s="155">
        <f t="shared" si="9"/>
        <v>626</v>
      </c>
      <c r="F36" s="155">
        <f t="shared" si="9"/>
        <v>39420</v>
      </c>
      <c r="G36" s="155">
        <f t="shared" si="9"/>
        <v>34180</v>
      </c>
      <c r="H36" s="155">
        <f t="shared" si="9"/>
        <v>0</v>
      </c>
      <c r="I36" s="155">
        <f t="shared" si="9"/>
        <v>4030</v>
      </c>
      <c r="J36" s="155">
        <f t="shared" si="9"/>
        <v>0</v>
      </c>
      <c r="K36" s="155">
        <f t="shared" si="9"/>
        <v>610</v>
      </c>
      <c r="L36" s="155">
        <f t="shared" si="9"/>
        <v>0</v>
      </c>
      <c r="M36" s="155">
        <f t="shared" si="9"/>
        <v>78240</v>
      </c>
      <c r="N36" s="155">
        <f t="shared" si="9"/>
        <v>20</v>
      </c>
      <c r="O36" s="167">
        <f t="shared" si="9"/>
        <v>8</v>
      </c>
      <c r="P36" s="155">
        <f t="shared" si="9"/>
        <v>0</v>
      </c>
      <c r="Q36" s="155">
        <f>SUM(Q27:Q35)</f>
        <v>0</v>
      </c>
      <c r="R36" s="186">
        <f t="shared" si="9"/>
        <v>0</v>
      </c>
      <c r="S36" s="166">
        <f t="shared" si="9"/>
        <v>0</v>
      </c>
      <c r="T36" s="186">
        <f>SUM(T27:T35)</f>
        <v>0</v>
      </c>
      <c r="U36" s="155">
        <f t="shared" si="9"/>
        <v>0</v>
      </c>
      <c r="V36" s="161">
        <f>IF(SUM(V27:V35)&gt;0,AVERAGEIF(V27:V35,"&lt;&gt;0"),0)</f>
        <v>0</v>
      </c>
      <c r="W36" s="155">
        <f>SUM(W27:W35)</f>
        <v>0</v>
      </c>
      <c r="X36" s="155">
        <f>SUM(X27:X35)</f>
        <v>0</v>
      </c>
      <c r="Y36" s="155">
        <f>SUM(Y27:Y35)</f>
        <v>0</v>
      </c>
      <c r="Z36" s="186">
        <f>SUM(Z27:Z35)</f>
        <v>0</v>
      </c>
      <c r="AA36" s="161">
        <f>IF(SUM(AA27:AA35),AVERAGEIF(AA27:AA35,"&lt;&gt;0"),0)</f>
        <v>0</v>
      </c>
      <c r="AB36" s="166">
        <f>SUM(AB27:AB35)</f>
        <v>0</v>
      </c>
      <c r="AC36" s="155">
        <f>SUM(AC27:AC35)</f>
        <v>0</v>
      </c>
      <c r="AD36" s="155">
        <f>SUM(AD27:AD35)</f>
        <v>0</v>
      </c>
      <c r="AE36" s="167">
        <f>SUM(AE27:AE35)</f>
        <v>0</v>
      </c>
    </row>
    <row r="37" spans="1:31" s="1" customFormat="1" ht="14.25" customHeight="1" x14ac:dyDescent="0.2">
      <c r="A37" s="30" t="s">
        <v>27</v>
      </c>
      <c r="B37" s="137">
        <v>45</v>
      </c>
      <c r="C37" s="138">
        <v>80</v>
      </c>
      <c r="D37" s="138">
        <v>83</v>
      </c>
      <c r="E37" s="155">
        <f t="shared" ref="E37:E49" si="10">SUM(B37:D37)</f>
        <v>208</v>
      </c>
      <c r="F37" s="139">
        <f>10270+5950</f>
        <v>16220</v>
      </c>
      <c r="G37" s="139">
        <v>11350</v>
      </c>
      <c r="H37" s="150">
        <v>0</v>
      </c>
      <c r="I37" s="139">
        <v>0</v>
      </c>
      <c r="J37" s="139">
        <v>0</v>
      </c>
      <c r="K37" s="139">
        <v>0</v>
      </c>
      <c r="L37" s="139">
        <v>0</v>
      </c>
      <c r="M37" s="163">
        <f t="shared" ref="M37:M49" si="11">SUM(F37:L37)</f>
        <v>27570</v>
      </c>
      <c r="N37" s="138">
        <v>0</v>
      </c>
      <c r="O37" s="140">
        <v>0</v>
      </c>
      <c r="P37" s="138">
        <v>0</v>
      </c>
      <c r="Q37" s="138">
        <v>0</v>
      </c>
      <c r="R37" s="183">
        <v>0</v>
      </c>
      <c r="S37" s="137">
        <v>0</v>
      </c>
      <c r="T37" s="183">
        <v>0</v>
      </c>
      <c r="U37" s="138">
        <v>0</v>
      </c>
      <c r="V37" s="192">
        <f t="shared" si="0"/>
        <v>0</v>
      </c>
      <c r="W37" s="138">
        <v>0</v>
      </c>
      <c r="X37" s="138">
        <v>0</v>
      </c>
      <c r="Y37" s="138">
        <v>0</v>
      </c>
      <c r="Z37" s="183">
        <v>0</v>
      </c>
      <c r="AA37" s="192" t="str">
        <f t="shared" si="1"/>
        <v>-</v>
      </c>
      <c r="AB37" s="142">
        <v>0</v>
      </c>
      <c r="AC37" s="139">
        <v>0</v>
      </c>
      <c r="AD37" s="139">
        <v>0</v>
      </c>
      <c r="AE37" s="123">
        <f t="shared" si="2"/>
        <v>0</v>
      </c>
    </row>
    <row r="38" spans="1:31" s="1" customFormat="1" ht="14.25" customHeight="1" x14ac:dyDescent="0.2">
      <c r="A38" s="30" t="s">
        <v>28</v>
      </c>
      <c r="B38" s="144">
        <v>4</v>
      </c>
      <c r="C38" s="145">
        <v>3</v>
      </c>
      <c r="D38" s="145">
        <v>6</v>
      </c>
      <c r="E38" s="155">
        <f t="shared" si="10"/>
        <v>13</v>
      </c>
      <c r="F38" s="139">
        <v>1250</v>
      </c>
      <c r="G38" s="139">
        <v>0</v>
      </c>
      <c r="H38" s="150">
        <v>0</v>
      </c>
      <c r="I38" s="138">
        <v>0</v>
      </c>
      <c r="J38" s="138">
        <v>0</v>
      </c>
      <c r="K38" s="138">
        <v>0</v>
      </c>
      <c r="L38" s="138">
        <v>0</v>
      </c>
      <c r="M38" s="163">
        <f t="shared" si="11"/>
        <v>1250</v>
      </c>
      <c r="N38" s="138">
        <v>0</v>
      </c>
      <c r="O38" s="140">
        <v>0</v>
      </c>
      <c r="P38" s="138">
        <v>0</v>
      </c>
      <c r="Q38" s="138">
        <v>0</v>
      </c>
      <c r="R38" s="183">
        <v>0</v>
      </c>
      <c r="S38" s="137">
        <v>0</v>
      </c>
      <c r="T38" s="183">
        <v>0</v>
      </c>
      <c r="U38" s="138">
        <v>0</v>
      </c>
      <c r="V38" s="192">
        <f t="shared" si="0"/>
        <v>0</v>
      </c>
      <c r="W38" s="138">
        <v>0</v>
      </c>
      <c r="X38" s="138">
        <v>0</v>
      </c>
      <c r="Y38" s="138">
        <v>0</v>
      </c>
      <c r="Z38" s="183">
        <v>0</v>
      </c>
      <c r="AA38" s="192" t="str">
        <f t="shared" si="1"/>
        <v>-</v>
      </c>
      <c r="AB38" s="137">
        <v>0</v>
      </c>
      <c r="AC38" s="138">
        <v>0</v>
      </c>
      <c r="AD38" s="138">
        <v>0</v>
      </c>
      <c r="AE38" s="123">
        <f t="shared" si="2"/>
        <v>0</v>
      </c>
    </row>
    <row r="39" spans="1:31" s="1" customFormat="1" ht="14.25" customHeight="1" x14ac:dyDescent="0.2">
      <c r="A39" s="30" t="s">
        <v>62</v>
      </c>
      <c r="B39" s="146">
        <v>0</v>
      </c>
      <c r="C39" s="147">
        <v>0</v>
      </c>
      <c r="D39" s="147">
        <v>0</v>
      </c>
      <c r="E39" s="155">
        <f t="shared" si="10"/>
        <v>0</v>
      </c>
      <c r="F39" s="150">
        <v>0</v>
      </c>
      <c r="G39" s="150">
        <v>0</v>
      </c>
      <c r="H39" s="150">
        <v>0</v>
      </c>
      <c r="I39" s="147">
        <v>0</v>
      </c>
      <c r="J39" s="147">
        <v>0</v>
      </c>
      <c r="K39" s="147">
        <v>0</v>
      </c>
      <c r="L39" s="147">
        <v>0</v>
      </c>
      <c r="M39" s="163">
        <f t="shared" si="11"/>
        <v>0</v>
      </c>
      <c r="N39" s="147">
        <v>0</v>
      </c>
      <c r="O39" s="149">
        <v>0</v>
      </c>
      <c r="P39" s="147">
        <v>0</v>
      </c>
      <c r="Q39" s="147">
        <v>0</v>
      </c>
      <c r="R39" s="184">
        <v>0</v>
      </c>
      <c r="S39" s="137">
        <v>0</v>
      </c>
      <c r="T39" s="183">
        <v>0</v>
      </c>
      <c r="U39" s="138">
        <v>0</v>
      </c>
      <c r="V39" s="192">
        <f t="shared" si="0"/>
        <v>0</v>
      </c>
      <c r="W39" s="147">
        <v>0</v>
      </c>
      <c r="X39" s="147">
        <v>0</v>
      </c>
      <c r="Y39" s="147">
        <v>0</v>
      </c>
      <c r="Z39" s="184">
        <v>0</v>
      </c>
      <c r="AA39" s="192" t="str">
        <f t="shared" si="1"/>
        <v>-</v>
      </c>
      <c r="AB39" s="146">
        <v>0</v>
      </c>
      <c r="AC39" s="147">
        <v>0</v>
      </c>
      <c r="AD39" s="147">
        <v>0</v>
      </c>
      <c r="AE39" s="123">
        <f t="shared" si="2"/>
        <v>0</v>
      </c>
    </row>
    <row r="40" spans="1:31" s="1" customFormat="1" ht="14.25" customHeight="1" x14ac:dyDescent="0.2">
      <c r="A40" s="30" t="s">
        <v>29</v>
      </c>
      <c r="B40" s="146">
        <v>0</v>
      </c>
      <c r="C40" s="147">
        <v>0</v>
      </c>
      <c r="D40" s="147">
        <v>0</v>
      </c>
      <c r="E40" s="155">
        <f t="shared" si="10"/>
        <v>0</v>
      </c>
      <c r="F40" s="150">
        <v>0</v>
      </c>
      <c r="G40" s="150">
        <v>0</v>
      </c>
      <c r="H40" s="150">
        <v>0</v>
      </c>
      <c r="I40" s="147">
        <v>0</v>
      </c>
      <c r="J40" s="147">
        <v>0</v>
      </c>
      <c r="K40" s="147">
        <v>0</v>
      </c>
      <c r="L40" s="147">
        <v>0</v>
      </c>
      <c r="M40" s="163">
        <f t="shared" si="11"/>
        <v>0</v>
      </c>
      <c r="N40" s="147">
        <v>0</v>
      </c>
      <c r="O40" s="149">
        <v>0</v>
      </c>
      <c r="P40" s="147">
        <v>0</v>
      </c>
      <c r="Q40" s="147">
        <v>0</v>
      </c>
      <c r="R40" s="184">
        <v>0</v>
      </c>
      <c r="S40" s="137">
        <v>0</v>
      </c>
      <c r="T40" s="183">
        <v>0</v>
      </c>
      <c r="U40" s="138">
        <v>0</v>
      </c>
      <c r="V40" s="192">
        <f t="shared" si="0"/>
        <v>0</v>
      </c>
      <c r="W40" s="147">
        <v>0</v>
      </c>
      <c r="X40" s="147">
        <v>0</v>
      </c>
      <c r="Y40" s="147">
        <v>0</v>
      </c>
      <c r="Z40" s="184">
        <v>0</v>
      </c>
      <c r="AA40" s="192" t="str">
        <f t="shared" si="1"/>
        <v>-</v>
      </c>
      <c r="AB40" s="146">
        <v>0</v>
      </c>
      <c r="AC40" s="147">
        <v>0</v>
      </c>
      <c r="AD40" s="147">
        <v>0</v>
      </c>
      <c r="AE40" s="123">
        <f t="shared" si="2"/>
        <v>0</v>
      </c>
    </row>
    <row r="41" spans="1:31" s="1" customFormat="1" ht="14.25" customHeight="1" x14ac:dyDescent="0.2">
      <c r="A41" s="30" t="s">
        <v>30</v>
      </c>
      <c r="B41" s="146">
        <v>0</v>
      </c>
      <c r="C41" s="147">
        <v>0</v>
      </c>
      <c r="D41" s="147">
        <v>0</v>
      </c>
      <c r="E41" s="155">
        <f t="shared" si="10"/>
        <v>0</v>
      </c>
      <c r="F41" s="150">
        <v>0</v>
      </c>
      <c r="G41" s="150">
        <v>0</v>
      </c>
      <c r="H41" s="150">
        <v>0</v>
      </c>
      <c r="I41" s="147">
        <v>0</v>
      </c>
      <c r="J41" s="147">
        <v>0</v>
      </c>
      <c r="K41" s="147">
        <v>0</v>
      </c>
      <c r="L41" s="147">
        <v>0</v>
      </c>
      <c r="M41" s="163">
        <f t="shared" si="11"/>
        <v>0</v>
      </c>
      <c r="N41" s="147">
        <v>0</v>
      </c>
      <c r="O41" s="149">
        <v>0</v>
      </c>
      <c r="P41" s="147">
        <v>0</v>
      </c>
      <c r="Q41" s="147">
        <v>0</v>
      </c>
      <c r="R41" s="184">
        <v>0</v>
      </c>
      <c r="S41" s="137">
        <v>0</v>
      </c>
      <c r="T41" s="183">
        <v>0</v>
      </c>
      <c r="U41" s="138">
        <v>0</v>
      </c>
      <c r="V41" s="192">
        <f t="shared" si="0"/>
        <v>0</v>
      </c>
      <c r="W41" s="147">
        <v>0</v>
      </c>
      <c r="X41" s="147">
        <v>0</v>
      </c>
      <c r="Y41" s="147">
        <v>0</v>
      </c>
      <c r="Z41" s="184">
        <v>0</v>
      </c>
      <c r="AA41" s="192" t="str">
        <f t="shared" si="1"/>
        <v>-</v>
      </c>
      <c r="AB41" s="146">
        <v>0</v>
      </c>
      <c r="AC41" s="147">
        <v>0</v>
      </c>
      <c r="AD41" s="147">
        <v>0</v>
      </c>
      <c r="AE41" s="123">
        <f t="shared" si="2"/>
        <v>0</v>
      </c>
    </row>
    <row r="42" spans="1:31" s="1" customFormat="1" ht="14.25" customHeight="1" x14ac:dyDescent="0.2">
      <c r="A42" s="30" t="s">
        <v>31</v>
      </c>
      <c r="B42" s="146">
        <v>0</v>
      </c>
      <c r="C42" s="147">
        <v>0</v>
      </c>
      <c r="D42" s="147">
        <v>0</v>
      </c>
      <c r="E42" s="155">
        <f t="shared" si="10"/>
        <v>0</v>
      </c>
      <c r="F42" s="150">
        <v>0</v>
      </c>
      <c r="G42" s="150">
        <v>0</v>
      </c>
      <c r="H42" s="150">
        <v>0</v>
      </c>
      <c r="I42" s="147">
        <v>0</v>
      </c>
      <c r="J42" s="147">
        <v>0</v>
      </c>
      <c r="K42" s="147">
        <v>0</v>
      </c>
      <c r="L42" s="147">
        <v>0</v>
      </c>
      <c r="M42" s="163">
        <f t="shared" si="11"/>
        <v>0</v>
      </c>
      <c r="N42" s="147">
        <v>0</v>
      </c>
      <c r="O42" s="149">
        <v>0</v>
      </c>
      <c r="P42" s="147">
        <v>0</v>
      </c>
      <c r="Q42" s="147">
        <v>0</v>
      </c>
      <c r="R42" s="184">
        <v>0</v>
      </c>
      <c r="S42" s="137">
        <v>0</v>
      </c>
      <c r="T42" s="183">
        <v>0</v>
      </c>
      <c r="U42" s="138">
        <v>0</v>
      </c>
      <c r="V42" s="192">
        <f t="shared" si="0"/>
        <v>0</v>
      </c>
      <c r="W42" s="147">
        <v>0</v>
      </c>
      <c r="X42" s="147">
        <v>0</v>
      </c>
      <c r="Y42" s="147">
        <v>0</v>
      </c>
      <c r="Z42" s="184">
        <v>0</v>
      </c>
      <c r="AA42" s="192" t="str">
        <f t="shared" si="1"/>
        <v>-</v>
      </c>
      <c r="AB42" s="146">
        <v>0</v>
      </c>
      <c r="AC42" s="147">
        <v>0</v>
      </c>
      <c r="AD42" s="147">
        <v>0</v>
      </c>
      <c r="AE42" s="123">
        <f t="shared" si="2"/>
        <v>0</v>
      </c>
    </row>
    <row r="43" spans="1:31" s="1" customFormat="1" ht="14.25" customHeight="1" x14ac:dyDescent="0.2">
      <c r="A43" s="30" t="s">
        <v>44</v>
      </c>
      <c r="B43" s="146">
        <v>0</v>
      </c>
      <c r="C43" s="147">
        <v>0</v>
      </c>
      <c r="D43" s="147">
        <v>0</v>
      </c>
      <c r="E43" s="155">
        <f t="shared" si="10"/>
        <v>0</v>
      </c>
      <c r="F43" s="150">
        <v>0</v>
      </c>
      <c r="G43" s="150">
        <v>0</v>
      </c>
      <c r="H43" s="150">
        <v>0</v>
      </c>
      <c r="I43" s="147">
        <v>0</v>
      </c>
      <c r="J43" s="147">
        <v>0</v>
      </c>
      <c r="K43" s="147">
        <v>0</v>
      </c>
      <c r="L43" s="147">
        <v>0</v>
      </c>
      <c r="M43" s="163">
        <f t="shared" si="11"/>
        <v>0</v>
      </c>
      <c r="N43" s="147">
        <v>0</v>
      </c>
      <c r="O43" s="149">
        <v>0</v>
      </c>
      <c r="P43" s="147">
        <v>0</v>
      </c>
      <c r="Q43" s="147">
        <v>0</v>
      </c>
      <c r="R43" s="184">
        <v>0</v>
      </c>
      <c r="S43" s="137">
        <v>0</v>
      </c>
      <c r="T43" s="183">
        <v>0</v>
      </c>
      <c r="U43" s="138">
        <v>0</v>
      </c>
      <c r="V43" s="192">
        <f t="shared" si="0"/>
        <v>0</v>
      </c>
      <c r="W43" s="147">
        <v>0</v>
      </c>
      <c r="X43" s="147">
        <v>0</v>
      </c>
      <c r="Y43" s="147">
        <v>0</v>
      </c>
      <c r="Z43" s="184">
        <v>0</v>
      </c>
      <c r="AA43" s="192" t="str">
        <f t="shared" si="1"/>
        <v>-</v>
      </c>
      <c r="AB43" s="146">
        <v>0</v>
      </c>
      <c r="AC43" s="147">
        <v>0</v>
      </c>
      <c r="AD43" s="147">
        <v>0</v>
      </c>
      <c r="AE43" s="123">
        <f t="shared" si="2"/>
        <v>0</v>
      </c>
    </row>
    <row r="44" spans="1:31" s="1" customFormat="1" ht="14.25" customHeight="1" x14ac:dyDescent="0.2">
      <c r="A44" s="30" t="s">
        <v>32</v>
      </c>
      <c r="B44" s="146">
        <v>6</v>
      </c>
      <c r="C44" s="147">
        <v>0</v>
      </c>
      <c r="D44" s="147">
        <v>6</v>
      </c>
      <c r="E44" s="155">
        <f t="shared" si="10"/>
        <v>12</v>
      </c>
      <c r="F44" s="150">
        <v>650</v>
      </c>
      <c r="G44" s="150">
        <v>2500</v>
      </c>
      <c r="H44" s="150">
        <v>0</v>
      </c>
      <c r="I44" s="147">
        <v>0</v>
      </c>
      <c r="J44" s="147">
        <v>0</v>
      </c>
      <c r="K44" s="147">
        <v>0</v>
      </c>
      <c r="L44" s="147">
        <v>0</v>
      </c>
      <c r="M44" s="163">
        <f t="shared" si="11"/>
        <v>3150</v>
      </c>
      <c r="N44" s="147">
        <v>0</v>
      </c>
      <c r="O44" s="149">
        <v>0</v>
      </c>
      <c r="P44" s="147">
        <v>0</v>
      </c>
      <c r="Q44" s="147">
        <v>0</v>
      </c>
      <c r="R44" s="184">
        <v>0</v>
      </c>
      <c r="S44" s="137">
        <v>0</v>
      </c>
      <c r="T44" s="183">
        <v>0</v>
      </c>
      <c r="U44" s="138">
        <v>0</v>
      </c>
      <c r="V44" s="192">
        <f t="shared" si="0"/>
        <v>0</v>
      </c>
      <c r="W44" s="147">
        <v>0</v>
      </c>
      <c r="X44" s="147">
        <v>0</v>
      </c>
      <c r="Y44" s="147">
        <v>0</v>
      </c>
      <c r="Z44" s="184">
        <v>0</v>
      </c>
      <c r="AA44" s="192" t="str">
        <f t="shared" si="1"/>
        <v>-</v>
      </c>
      <c r="AB44" s="146">
        <v>0</v>
      </c>
      <c r="AC44" s="147">
        <v>0</v>
      </c>
      <c r="AD44" s="147">
        <v>0</v>
      </c>
      <c r="AE44" s="123">
        <f t="shared" si="2"/>
        <v>0</v>
      </c>
    </row>
    <row r="45" spans="1:31" s="1" customFormat="1" ht="14.25" customHeight="1" x14ac:dyDescent="0.2">
      <c r="A45" s="30" t="s">
        <v>105</v>
      </c>
      <c r="B45" s="146">
        <v>0</v>
      </c>
      <c r="C45" s="147">
        <v>0</v>
      </c>
      <c r="D45" s="147">
        <v>0</v>
      </c>
      <c r="E45" s="155">
        <f t="shared" si="10"/>
        <v>0</v>
      </c>
      <c r="F45" s="150">
        <v>0</v>
      </c>
      <c r="G45" s="150">
        <v>0</v>
      </c>
      <c r="H45" s="150">
        <v>0</v>
      </c>
      <c r="I45" s="147">
        <v>0</v>
      </c>
      <c r="J45" s="147">
        <v>0</v>
      </c>
      <c r="K45" s="147">
        <v>0</v>
      </c>
      <c r="L45" s="147">
        <v>0</v>
      </c>
      <c r="M45" s="163">
        <f t="shared" si="11"/>
        <v>0</v>
      </c>
      <c r="N45" s="147">
        <v>0</v>
      </c>
      <c r="O45" s="149">
        <v>0</v>
      </c>
      <c r="P45" s="147">
        <v>0</v>
      </c>
      <c r="Q45" s="147">
        <v>0</v>
      </c>
      <c r="R45" s="184">
        <v>0</v>
      </c>
      <c r="S45" s="137">
        <v>0</v>
      </c>
      <c r="T45" s="183">
        <v>0</v>
      </c>
      <c r="U45" s="138">
        <v>0</v>
      </c>
      <c r="V45" s="192">
        <f t="shared" si="0"/>
        <v>0</v>
      </c>
      <c r="W45" s="147">
        <v>0</v>
      </c>
      <c r="X45" s="147">
        <v>0</v>
      </c>
      <c r="Y45" s="147">
        <v>0</v>
      </c>
      <c r="Z45" s="184">
        <v>0</v>
      </c>
      <c r="AA45" s="192" t="str">
        <f t="shared" si="1"/>
        <v>-</v>
      </c>
      <c r="AB45" s="146">
        <v>0</v>
      </c>
      <c r="AC45" s="147">
        <v>0</v>
      </c>
      <c r="AD45" s="147">
        <v>0</v>
      </c>
      <c r="AE45" s="123">
        <f t="shared" si="2"/>
        <v>0</v>
      </c>
    </row>
    <row r="46" spans="1:31" s="1" customFormat="1" ht="14.25" customHeight="1" x14ac:dyDescent="0.2">
      <c r="A46" s="30" t="s">
        <v>33</v>
      </c>
      <c r="B46" s="146">
        <v>0</v>
      </c>
      <c r="C46" s="147">
        <v>0</v>
      </c>
      <c r="D46" s="147">
        <v>0</v>
      </c>
      <c r="E46" s="155">
        <f t="shared" si="10"/>
        <v>0</v>
      </c>
      <c r="F46" s="150">
        <v>0</v>
      </c>
      <c r="G46" s="150">
        <v>0</v>
      </c>
      <c r="H46" s="150">
        <v>0</v>
      </c>
      <c r="I46" s="147">
        <v>0</v>
      </c>
      <c r="J46" s="147">
        <v>0</v>
      </c>
      <c r="K46" s="147">
        <v>0</v>
      </c>
      <c r="L46" s="147">
        <v>0</v>
      </c>
      <c r="M46" s="163">
        <f t="shared" si="11"/>
        <v>0</v>
      </c>
      <c r="N46" s="147">
        <v>0</v>
      </c>
      <c r="O46" s="149">
        <v>0</v>
      </c>
      <c r="P46" s="147">
        <v>0</v>
      </c>
      <c r="Q46" s="147">
        <v>0</v>
      </c>
      <c r="R46" s="184">
        <v>0</v>
      </c>
      <c r="S46" s="137">
        <v>0</v>
      </c>
      <c r="T46" s="183">
        <v>0</v>
      </c>
      <c r="U46" s="138">
        <v>0</v>
      </c>
      <c r="V46" s="192">
        <f t="shared" si="0"/>
        <v>0</v>
      </c>
      <c r="W46" s="147">
        <v>0</v>
      </c>
      <c r="X46" s="147">
        <v>0</v>
      </c>
      <c r="Y46" s="147">
        <v>0</v>
      </c>
      <c r="Z46" s="184">
        <v>0</v>
      </c>
      <c r="AA46" s="192" t="str">
        <f t="shared" si="1"/>
        <v>-</v>
      </c>
      <c r="AB46" s="146">
        <v>0</v>
      </c>
      <c r="AC46" s="147">
        <v>0</v>
      </c>
      <c r="AD46" s="147">
        <v>0</v>
      </c>
      <c r="AE46" s="123">
        <f t="shared" si="2"/>
        <v>0</v>
      </c>
    </row>
    <row r="47" spans="1:31" s="1" customFormat="1" ht="14.25" customHeight="1" x14ac:dyDescent="0.2">
      <c r="A47" s="30" t="s">
        <v>34</v>
      </c>
      <c r="B47" s="146">
        <v>0</v>
      </c>
      <c r="C47" s="147">
        <v>0</v>
      </c>
      <c r="D47" s="147">
        <v>0</v>
      </c>
      <c r="E47" s="155">
        <f t="shared" si="10"/>
        <v>0</v>
      </c>
      <c r="F47" s="150">
        <v>0</v>
      </c>
      <c r="G47" s="150">
        <v>0</v>
      </c>
      <c r="H47" s="150">
        <v>0</v>
      </c>
      <c r="I47" s="147">
        <v>0</v>
      </c>
      <c r="J47" s="147">
        <v>0</v>
      </c>
      <c r="K47" s="147">
        <v>0</v>
      </c>
      <c r="L47" s="147">
        <v>0</v>
      </c>
      <c r="M47" s="163">
        <f t="shared" si="11"/>
        <v>0</v>
      </c>
      <c r="N47" s="147">
        <v>0</v>
      </c>
      <c r="O47" s="149">
        <v>0</v>
      </c>
      <c r="P47" s="147">
        <v>0</v>
      </c>
      <c r="Q47" s="147">
        <v>0</v>
      </c>
      <c r="R47" s="184">
        <v>0</v>
      </c>
      <c r="S47" s="137">
        <v>0</v>
      </c>
      <c r="T47" s="183">
        <v>0</v>
      </c>
      <c r="U47" s="138">
        <v>0</v>
      </c>
      <c r="V47" s="192">
        <f t="shared" si="0"/>
        <v>0</v>
      </c>
      <c r="W47" s="147">
        <v>0</v>
      </c>
      <c r="X47" s="147">
        <v>0</v>
      </c>
      <c r="Y47" s="147">
        <v>0</v>
      </c>
      <c r="Z47" s="184">
        <v>0</v>
      </c>
      <c r="AA47" s="192" t="str">
        <f t="shared" si="1"/>
        <v>-</v>
      </c>
      <c r="AB47" s="146">
        <v>0</v>
      </c>
      <c r="AC47" s="147">
        <v>0</v>
      </c>
      <c r="AD47" s="147">
        <v>0</v>
      </c>
      <c r="AE47" s="123">
        <f t="shared" si="2"/>
        <v>0</v>
      </c>
    </row>
    <row r="48" spans="1:31" s="1" customFormat="1" ht="14.25" customHeight="1" x14ac:dyDescent="0.2">
      <c r="A48" s="30" t="s">
        <v>35</v>
      </c>
      <c r="B48" s="146">
        <v>0</v>
      </c>
      <c r="C48" s="147">
        <v>0</v>
      </c>
      <c r="D48" s="147">
        <v>0</v>
      </c>
      <c r="E48" s="155">
        <f t="shared" si="10"/>
        <v>0</v>
      </c>
      <c r="F48" s="147">
        <v>0</v>
      </c>
      <c r="G48" s="147">
        <v>0</v>
      </c>
      <c r="H48" s="150">
        <v>0</v>
      </c>
      <c r="I48" s="147">
        <v>0</v>
      </c>
      <c r="J48" s="147">
        <v>0</v>
      </c>
      <c r="K48" s="147">
        <v>0</v>
      </c>
      <c r="L48" s="147">
        <v>0</v>
      </c>
      <c r="M48" s="163">
        <f t="shared" si="11"/>
        <v>0</v>
      </c>
      <c r="N48" s="147">
        <v>0</v>
      </c>
      <c r="O48" s="149">
        <v>0</v>
      </c>
      <c r="P48" s="147">
        <v>0</v>
      </c>
      <c r="Q48" s="147">
        <v>0</v>
      </c>
      <c r="R48" s="184">
        <v>0</v>
      </c>
      <c r="S48" s="137">
        <v>0</v>
      </c>
      <c r="T48" s="183">
        <v>0</v>
      </c>
      <c r="U48" s="138">
        <v>0</v>
      </c>
      <c r="V48" s="192">
        <f t="shared" si="0"/>
        <v>0</v>
      </c>
      <c r="W48" s="147">
        <v>0</v>
      </c>
      <c r="X48" s="147">
        <v>0</v>
      </c>
      <c r="Y48" s="147">
        <v>0</v>
      </c>
      <c r="Z48" s="184">
        <v>0</v>
      </c>
      <c r="AA48" s="192" t="str">
        <f t="shared" si="1"/>
        <v>-</v>
      </c>
      <c r="AB48" s="146">
        <v>0</v>
      </c>
      <c r="AC48" s="147">
        <v>0</v>
      </c>
      <c r="AD48" s="147">
        <v>0</v>
      </c>
      <c r="AE48" s="123">
        <f t="shared" si="2"/>
        <v>0</v>
      </c>
    </row>
    <row r="49" spans="1:31" s="1" customFormat="1" ht="14.25" customHeight="1" thickBot="1" x14ac:dyDescent="0.25">
      <c r="A49" s="43" t="s">
        <v>112</v>
      </c>
      <c r="B49" s="152">
        <v>0</v>
      </c>
      <c r="C49" s="151">
        <v>0</v>
      </c>
      <c r="D49" s="151">
        <v>0</v>
      </c>
      <c r="E49" s="169">
        <f t="shared" si="10"/>
        <v>0</v>
      </c>
      <c r="F49" s="151">
        <v>0</v>
      </c>
      <c r="G49" s="151">
        <v>0</v>
      </c>
      <c r="H49" s="153">
        <v>0</v>
      </c>
      <c r="I49" s="151">
        <v>0</v>
      </c>
      <c r="J49" s="151">
        <v>0</v>
      </c>
      <c r="K49" s="151">
        <v>0</v>
      </c>
      <c r="L49" s="151">
        <v>0</v>
      </c>
      <c r="M49" s="164">
        <f t="shared" si="11"/>
        <v>0</v>
      </c>
      <c r="N49" s="177">
        <v>0</v>
      </c>
      <c r="O49" s="178">
        <v>0</v>
      </c>
      <c r="P49" s="177">
        <v>0</v>
      </c>
      <c r="Q49" s="177">
        <v>0</v>
      </c>
      <c r="R49" s="191">
        <v>0</v>
      </c>
      <c r="S49" s="195">
        <v>0</v>
      </c>
      <c r="T49" s="189">
        <v>0</v>
      </c>
      <c r="U49" s="203">
        <v>0</v>
      </c>
      <c r="V49" s="193">
        <f t="shared" si="0"/>
        <v>0</v>
      </c>
      <c r="W49" s="177">
        <v>0</v>
      </c>
      <c r="X49" s="177">
        <v>0</v>
      </c>
      <c r="Y49" s="177">
        <v>0</v>
      </c>
      <c r="Z49" s="191">
        <v>0</v>
      </c>
      <c r="AA49" s="193" t="str">
        <f t="shared" si="1"/>
        <v>-</v>
      </c>
      <c r="AB49" s="146">
        <v>0</v>
      </c>
      <c r="AC49" s="147">
        <v>0</v>
      </c>
      <c r="AD49" s="147">
        <v>0</v>
      </c>
      <c r="AE49" s="123">
        <f t="shared" si="2"/>
        <v>0</v>
      </c>
    </row>
    <row r="50" spans="1:31" s="1" customFormat="1" ht="14.25" customHeight="1" thickBot="1" x14ac:dyDescent="0.25">
      <c r="A50" s="235"/>
      <c r="B50" s="168">
        <f t="shared" ref="B50:U50" si="12">SUM(B37:B49)</f>
        <v>55</v>
      </c>
      <c r="C50" s="172">
        <f t="shared" si="12"/>
        <v>83</v>
      </c>
      <c r="D50" s="172">
        <f t="shared" si="12"/>
        <v>95</v>
      </c>
      <c r="E50" s="172">
        <f t="shared" si="12"/>
        <v>233</v>
      </c>
      <c r="F50" s="165">
        <f t="shared" si="12"/>
        <v>18120</v>
      </c>
      <c r="G50" s="165">
        <f t="shared" si="12"/>
        <v>13850</v>
      </c>
      <c r="H50" s="165">
        <f t="shared" si="12"/>
        <v>0</v>
      </c>
      <c r="I50" s="165">
        <f t="shared" si="12"/>
        <v>0</v>
      </c>
      <c r="J50" s="165">
        <f t="shared" si="12"/>
        <v>0</v>
      </c>
      <c r="K50" s="165">
        <f t="shared" si="12"/>
        <v>0</v>
      </c>
      <c r="L50" s="165">
        <f t="shared" si="12"/>
        <v>0</v>
      </c>
      <c r="M50" s="165">
        <f t="shared" si="12"/>
        <v>31970</v>
      </c>
      <c r="N50" s="176">
        <f t="shared" si="12"/>
        <v>0</v>
      </c>
      <c r="O50" s="174">
        <f t="shared" si="12"/>
        <v>0</v>
      </c>
      <c r="P50" s="176">
        <f t="shared" si="12"/>
        <v>0</v>
      </c>
      <c r="Q50" s="176">
        <f>SUM(Q37:Q49)</f>
        <v>0</v>
      </c>
      <c r="R50" s="187">
        <f t="shared" si="12"/>
        <v>0</v>
      </c>
      <c r="S50" s="198">
        <f t="shared" si="12"/>
        <v>0</v>
      </c>
      <c r="T50" s="204">
        <f>SUM(T37:T49)</f>
        <v>0</v>
      </c>
      <c r="U50" s="205">
        <f t="shared" si="12"/>
        <v>0</v>
      </c>
      <c r="V50" s="206">
        <f>IF(SUM(V37:V49)&gt;0,AVERAGEIF(V37:V49,"&lt;&gt;0"),0)</f>
        <v>0</v>
      </c>
      <c r="W50" s="176">
        <f>SUM(W37:W49)</f>
        <v>0</v>
      </c>
      <c r="X50" s="176">
        <f>SUM(X37:X49)</f>
        <v>0</v>
      </c>
      <c r="Y50" s="176">
        <f>SUM(Y37:Y49)</f>
        <v>0</v>
      </c>
      <c r="Z50" s="187">
        <f>SUM(Z37:Z49)</f>
        <v>0</v>
      </c>
      <c r="AA50" s="161">
        <f>IF(SUM(AA37:AA49),AVERAGEIF(AA37:AA49,"&lt;&gt;0"),0)</f>
        <v>0</v>
      </c>
      <c r="AB50" s="168">
        <f>SUM(AB37:AB49)</f>
        <v>0</v>
      </c>
      <c r="AC50" s="165">
        <f>SUM(AC37:AC49)</f>
        <v>0</v>
      </c>
      <c r="AD50" s="165">
        <f>SUM(AD37:AD49)</f>
        <v>0</v>
      </c>
      <c r="AE50" s="127">
        <f>SUM(AE37:AE49)</f>
        <v>0</v>
      </c>
    </row>
    <row r="51" spans="1:31" s="1" customFormat="1" thickBot="1" x14ac:dyDescent="0.25">
      <c r="A51" s="77" t="s">
        <v>119</v>
      </c>
      <c r="B51" s="181">
        <f>B10+B15+B21+B26+B36+B50</f>
        <v>718</v>
      </c>
      <c r="C51" s="182">
        <f t="shared" ref="C51:U51" si="13">C10+C15+C21+C26+C36+C50</f>
        <v>971</v>
      </c>
      <c r="D51" s="182">
        <f t="shared" si="13"/>
        <v>1048</v>
      </c>
      <c r="E51" s="182">
        <f t="shared" si="13"/>
        <v>2737</v>
      </c>
      <c r="F51" s="182">
        <f t="shared" si="13"/>
        <v>348060</v>
      </c>
      <c r="G51" s="182">
        <f t="shared" si="13"/>
        <v>219930</v>
      </c>
      <c r="H51" s="182">
        <f t="shared" si="13"/>
        <v>0</v>
      </c>
      <c r="I51" s="182">
        <f t="shared" si="13"/>
        <v>22070</v>
      </c>
      <c r="J51" s="182">
        <f t="shared" si="13"/>
        <v>0</v>
      </c>
      <c r="K51" s="182">
        <f t="shared" si="13"/>
        <v>40230</v>
      </c>
      <c r="L51" s="182">
        <f t="shared" si="13"/>
        <v>22500</v>
      </c>
      <c r="M51" s="182">
        <f t="shared" si="13"/>
        <v>652790</v>
      </c>
      <c r="N51" s="182">
        <f t="shared" si="13"/>
        <v>51</v>
      </c>
      <c r="O51" s="182">
        <f t="shared" si="13"/>
        <v>14</v>
      </c>
      <c r="P51" s="180">
        <f t="shared" si="13"/>
        <v>0</v>
      </c>
      <c r="Q51" s="188">
        <f>Q10+Q15+Q21+Q26+Q36+Q50</f>
        <v>0</v>
      </c>
      <c r="R51" s="128">
        <f t="shared" si="13"/>
        <v>0</v>
      </c>
      <c r="S51" s="199">
        <f t="shared" si="13"/>
        <v>0</v>
      </c>
      <c r="T51" s="128">
        <f>T10+T15+T21+T26+T36+T50</f>
        <v>0</v>
      </c>
      <c r="U51" s="180">
        <f t="shared" si="13"/>
        <v>0</v>
      </c>
      <c r="V51" s="190">
        <f>IF(SUM(V6:V50)&gt;0,AVERAGEIF(V6:V50, "&lt;&gt;0"),0)</f>
        <v>0</v>
      </c>
      <c r="W51" s="179">
        <f>W10+W15+W21+W26+W36+W50</f>
        <v>0</v>
      </c>
      <c r="X51" s="188">
        <f>X10+X15+X21+X26+X36+X50</f>
        <v>0</v>
      </c>
      <c r="Y51" s="180">
        <f>Y10+Y15+Y21+Y26+Y36+Y50</f>
        <v>0</v>
      </c>
      <c r="Z51" s="180">
        <f>Z10+Z15+Z21+Z26+Z36+Z50</f>
        <v>0</v>
      </c>
      <c r="AA51" s="190">
        <f>IF(SUM(AA6:AA50)&gt;0,AVERAGEIF(AA6:AA50, "&lt;&gt;0"),0)</f>
        <v>0</v>
      </c>
      <c r="AB51" s="179">
        <f>AB10+AB15+AB21+AB26+AB36+AB50</f>
        <v>0</v>
      </c>
      <c r="AC51" s="180">
        <f>AC10+AC15+AC21+AC26+AC36+AC50</f>
        <v>0</v>
      </c>
      <c r="AD51" s="180">
        <f>AD10+AD15+AD21+AD26+AD36+AD50</f>
        <v>0</v>
      </c>
      <c r="AE51" s="190">
        <f>AE10+AE15+AE21+AE26+AE36+AE50</f>
        <v>0</v>
      </c>
    </row>
    <row r="55" spans="1:31" x14ac:dyDescent="0.25">
      <c r="C55" s="133"/>
    </row>
  </sheetData>
  <sheetProtection password="A367" sheet="1" objects="1" scenarios="1"/>
  <mergeCells count="8">
    <mergeCell ref="A1:A3"/>
    <mergeCell ref="B4:E4"/>
    <mergeCell ref="N4:O4"/>
    <mergeCell ref="F4:M4"/>
    <mergeCell ref="AB4:AE4"/>
    <mergeCell ref="W4:AA4"/>
    <mergeCell ref="P4:R4"/>
    <mergeCell ref="S4:V4"/>
  </mergeCells>
  <conditionalFormatting sqref="AE22:AE25">
    <cfRule type="containsBlanks" dxfId="303" priority="44">
      <formula>LEN(TRIM(AE22))=0</formula>
    </cfRule>
  </conditionalFormatting>
  <conditionalFormatting sqref="AB26:AE26 AB12:AD14 AB6:AE6 AB7:AD7 AE7:AE9 AB16:AD20 AB22:AD25 AB36:AE36 AB27:AD35 AB37:AD49">
    <cfRule type="containsBlanks" dxfId="302" priority="50">
      <formula>LEN(TRIM(AB6))=0</formula>
    </cfRule>
  </conditionalFormatting>
  <conditionalFormatting sqref="AB11:AD11">
    <cfRule type="containsBlanks" dxfId="301" priority="49">
      <formula>LEN(TRIM(AB11))=0</formula>
    </cfRule>
  </conditionalFormatting>
  <conditionalFormatting sqref="AB8:AD8">
    <cfRule type="containsBlanks" dxfId="300" priority="48">
      <formula>LEN(TRIM(AB8))=0</formula>
    </cfRule>
  </conditionalFormatting>
  <conditionalFormatting sqref="AB9:AD9">
    <cfRule type="containsBlanks" dxfId="299" priority="47">
      <formula>LEN(TRIM(AB9))=0</formula>
    </cfRule>
  </conditionalFormatting>
  <conditionalFormatting sqref="AE11:AE14">
    <cfRule type="containsBlanks" dxfId="298" priority="46">
      <formula>LEN(TRIM(AE11))=0</formula>
    </cfRule>
  </conditionalFormatting>
  <conditionalFormatting sqref="AE16:AE20">
    <cfRule type="containsBlanks" dxfId="297" priority="45">
      <formula>LEN(TRIM(AE16))=0</formula>
    </cfRule>
  </conditionalFormatting>
  <conditionalFormatting sqref="AE27:AE35">
    <cfRule type="containsBlanks" dxfId="296" priority="43">
      <formula>LEN(TRIM(AE27))=0</formula>
    </cfRule>
  </conditionalFormatting>
  <conditionalFormatting sqref="AE37:AE49">
    <cfRule type="containsBlanks" dxfId="295" priority="42">
      <formula>LEN(TRIM(AE37))=0</formula>
    </cfRule>
  </conditionalFormatting>
  <conditionalFormatting sqref="S26 S36 W6:Z7 W22:Z49 W16:Z20 W12:Z14 S6:S9 U6:V9 U36 U26">
    <cfRule type="containsBlanks" dxfId="294" priority="41">
      <formula>LEN(TRIM(S6))=0</formula>
    </cfRule>
  </conditionalFormatting>
  <conditionalFormatting sqref="W11:Z11">
    <cfRule type="containsBlanks" dxfId="293" priority="40">
      <formula>LEN(TRIM(W11))=0</formula>
    </cfRule>
  </conditionalFormatting>
  <conditionalFormatting sqref="W8:Z8">
    <cfRule type="containsBlanks" dxfId="292" priority="39">
      <formula>LEN(TRIM(W8))=0</formula>
    </cfRule>
  </conditionalFormatting>
  <conditionalFormatting sqref="W9:Z9">
    <cfRule type="containsBlanks" dxfId="291" priority="38">
      <formula>LEN(TRIM(W9))=0</formula>
    </cfRule>
  </conditionalFormatting>
  <conditionalFormatting sqref="S11:S14 U11:U14">
    <cfRule type="containsBlanks" dxfId="290" priority="37">
      <formula>LEN(TRIM(S11))=0</formula>
    </cfRule>
  </conditionalFormatting>
  <conditionalFormatting sqref="S16:S20 U16:U20">
    <cfRule type="containsBlanks" dxfId="289" priority="36">
      <formula>LEN(TRIM(S16))=0</formula>
    </cfRule>
  </conditionalFormatting>
  <conditionalFormatting sqref="S22:S25 U22:U25">
    <cfRule type="containsBlanks" dxfId="288" priority="35">
      <formula>LEN(TRIM(S22))=0</formula>
    </cfRule>
  </conditionalFormatting>
  <conditionalFormatting sqref="S27:S35 U27:U35">
    <cfRule type="containsBlanks" dxfId="287" priority="34">
      <formula>LEN(TRIM(S27))=0</formula>
    </cfRule>
  </conditionalFormatting>
  <conditionalFormatting sqref="S37:S49 U37:U49">
    <cfRule type="containsBlanks" dxfId="286" priority="33">
      <formula>LEN(TRIM(S37))=0</formula>
    </cfRule>
  </conditionalFormatting>
  <conditionalFormatting sqref="AA6:AA9">
    <cfRule type="containsBlanks" dxfId="285" priority="32">
      <formula>LEN(TRIM(AA6))=0</formula>
    </cfRule>
  </conditionalFormatting>
  <conditionalFormatting sqref="AA11:AA14">
    <cfRule type="containsBlanks" dxfId="284" priority="31">
      <formula>LEN(TRIM(AA11))=0</formula>
    </cfRule>
  </conditionalFormatting>
  <conditionalFormatting sqref="AA16:AA20">
    <cfRule type="containsBlanks" dxfId="283" priority="30">
      <formula>LEN(TRIM(AA16))=0</formula>
    </cfRule>
  </conditionalFormatting>
  <conditionalFormatting sqref="AA22:AA25">
    <cfRule type="containsBlanks" dxfId="282" priority="29">
      <formula>LEN(TRIM(AA22))=0</formula>
    </cfRule>
  </conditionalFormatting>
  <conditionalFormatting sqref="AA27:AA35">
    <cfRule type="containsBlanks" dxfId="281" priority="28">
      <formula>LEN(TRIM(AA27))=0</formula>
    </cfRule>
  </conditionalFormatting>
  <conditionalFormatting sqref="AA37:AA49">
    <cfRule type="containsBlanks" dxfId="280" priority="27">
      <formula>LEN(TRIM(AA37))=0</formula>
    </cfRule>
  </conditionalFormatting>
  <conditionalFormatting sqref="V11:V14">
    <cfRule type="containsBlanks" dxfId="279" priority="26">
      <formula>LEN(TRIM(V11))=0</formula>
    </cfRule>
  </conditionalFormatting>
  <conditionalFormatting sqref="V16:V20">
    <cfRule type="containsBlanks" dxfId="278" priority="25">
      <formula>LEN(TRIM(V16))=0</formula>
    </cfRule>
  </conditionalFormatting>
  <conditionalFormatting sqref="V22:V25">
    <cfRule type="containsBlanks" dxfId="277" priority="24">
      <formula>LEN(TRIM(V22))=0</formula>
    </cfRule>
  </conditionalFormatting>
  <conditionalFormatting sqref="V27:V35">
    <cfRule type="containsBlanks" dxfId="276" priority="23">
      <formula>LEN(TRIM(V27))=0</formula>
    </cfRule>
  </conditionalFormatting>
  <conditionalFormatting sqref="V37:V49">
    <cfRule type="containsBlanks" dxfId="275" priority="22">
      <formula>LEN(TRIM(V37))=0</formula>
    </cfRule>
  </conditionalFormatting>
  <conditionalFormatting sqref="G6:O9 G11:O14">
    <cfRule type="containsBlanks" dxfId="274" priority="20">
      <formula>LEN(TRIM(G6))=0</formula>
    </cfRule>
  </conditionalFormatting>
  <conditionalFormatting sqref="G26:O26 G36:O36">
    <cfRule type="containsBlanks" dxfId="273" priority="21">
      <formula>LEN(TRIM(G26))=0</formula>
    </cfRule>
  </conditionalFormatting>
  <conditionalFormatting sqref="P8 R8">
    <cfRule type="containsBlanks" dxfId="272" priority="13">
      <formula>LEN(TRIM(P8))=0</formula>
    </cfRule>
  </conditionalFormatting>
  <conditionalFormatting sqref="G16:O20">
    <cfRule type="containsBlanks" dxfId="271" priority="19">
      <formula>LEN(TRIM(G16))=0</formula>
    </cfRule>
  </conditionalFormatting>
  <conditionalFormatting sqref="G22:O25">
    <cfRule type="containsBlanks" dxfId="270" priority="18">
      <formula>LEN(TRIM(G22))=0</formula>
    </cfRule>
  </conditionalFormatting>
  <conditionalFormatting sqref="G27:O28 G30:O35 M29:O29">
    <cfRule type="containsBlanks" dxfId="269" priority="17">
      <formula>LEN(TRIM(G27))=0</formula>
    </cfRule>
  </conditionalFormatting>
  <conditionalFormatting sqref="G37:O49">
    <cfRule type="containsBlanks" dxfId="268" priority="16">
      <formula>LEN(TRIM(G37))=0</formula>
    </cfRule>
  </conditionalFormatting>
  <conditionalFormatting sqref="P12:P14 P22:P49 P16:P20 P6:P7 R6:R7 R16:R20 R22:R49 R12:R14">
    <cfRule type="containsBlanks" dxfId="267" priority="15">
      <formula>LEN(TRIM(P6))=0</formula>
    </cfRule>
  </conditionalFormatting>
  <conditionalFormatting sqref="P11 R11">
    <cfRule type="containsBlanks" dxfId="266" priority="14">
      <formula>LEN(TRIM(P11))=0</formula>
    </cfRule>
  </conditionalFormatting>
  <conditionalFormatting sqref="P9 R9">
    <cfRule type="containsBlanks" dxfId="265" priority="12">
      <formula>LEN(TRIM(P9))=0</formula>
    </cfRule>
  </conditionalFormatting>
  <conditionalFormatting sqref="G29:L29">
    <cfRule type="containsBlanks" dxfId="264" priority="11">
      <formula>LEN(TRIM(G29))=0</formula>
    </cfRule>
  </conditionalFormatting>
  <conditionalFormatting sqref="Q8">
    <cfRule type="containsBlanks" dxfId="263" priority="8">
      <formula>LEN(TRIM(Q8))=0</formula>
    </cfRule>
  </conditionalFormatting>
  <conditionalFormatting sqref="Q6:Q7 Q16:Q20 Q22:Q49 Q12:Q14">
    <cfRule type="containsBlanks" dxfId="262" priority="10">
      <formula>LEN(TRIM(Q6))=0</formula>
    </cfRule>
  </conditionalFormatting>
  <conditionalFormatting sqref="Q11">
    <cfRule type="containsBlanks" dxfId="261" priority="9">
      <formula>LEN(TRIM(Q11))=0</formula>
    </cfRule>
  </conditionalFormatting>
  <conditionalFormatting sqref="Q9">
    <cfRule type="containsBlanks" dxfId="260" priority="7">
      <formula>LEN(TRIM(Q9))=0</formula>
    </cfRule>
  </conditionalFormatting>
  <conditionalFormatting sqref="T6:T9 T36 T26">
    <cfRule type="containsBlanks" dxfId="259" priority="6">
      <formula>LEN(TRIM(T6))=0</formula>
    </cfRule>
  </conditionalFormatting>
  <conditionalFormatting sqref="T11:T14">
    <cfRule type="containsBlanks" dxfId="258" priority="5">
      <formula>LEN(TRIM(T11))=0</formula>
    </cfRule>
  </conditionalFormatting>
  <conditionalFormatting sqref="T16:T20">
    <cfRule type="containsBlanks" dxfId="257" priority="4">
      <formula>LEN(TRIM(T16))=0</formula>
    </cfRule>
  </conditionalFormatting>
  <conditionalFormatting sqref="T22:T25">
    <cfRule type="containsBlanks" dxfId="256" priority="3">
      <formula>LEN(TRIM(T22))=0</formula>
    </cfRule>
  </conditionalFormatting>
  <conditionalFormatting sqref="T27:T35">
    <cfRule type="containsBlanks" dxfId="255" priority="2">
      <formula>LEN(TRIM(T27))=0</formula>
    </cfRule>
  </conditionalFormatting>
  <conditionalFormatting sqref="T37:T49">
    <cfRule type="containsBlanks" dxfId="254" priority="1">
      <formula>LEN(TRIM(T37))=0</formula>
    </cfRule>
  </conditionalFormatting>
  <dataValidations count="1">
    <dataValidation type="whole" allowBlank="1" showInputMessage="1" showErrorMessage="1" errorTitle="ERROR!" error="Sorry, the value you entered is invalid! It must be 0 or 1." prompt="Value must be 1 if COD is between 1st  to 3rd, else 0." sqref="S6:U9 S11:U14 S16:U20 S22:U25 S27:U35 S37:U49">
      <formula1>0</formula1>
      <formula2>1</formula2>
    </dataValidation>
  </dataValidation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E55"/>
  <sheetViews>
    <sheetView workbookViewId="0">
      <pane xSplit="1" ySplit="5" topLeftCell="B6" activePane="bottomRight" state="frozen"/>
      <selection pane="topRight" activeCell="F1" sqref="F1"/>
      <selection pane="bottomLeft" activeCell="A6" sqref="A6"/>
      <selection pane="bottomRight" activeCell="F4" sqref="F4:M4"/>
    </sheetView>
  </sheetViews>
  <sheetFormatPr defaultRowHeight="15" x14ac:dyDescent="0.25"/>
  <cols>
    <col min="1" max="1" width="23" style="1" customWidth="1"/>
    <col min="2" max="3" width="10.85546875" style="129" customWidth="1"/>
    <col min="4" max="4" width="12.42578125" style="129" customWidth="1"/>
    <col min="5" max="5" width="13.140625" style="129" customWidth="1"/>
    <col min="6" max="6" width="12.5703125" style="129" customWidth="1"/>
    <col min="7" max="7" width="15" style="129" customWidth="1"/>
    <col min="8" max="8" width="15.140625" style="129" customWidth="1"/>
    <col min="9" max="10" width="15.85546875" style="129" customWidth="1"/>
    <col min="11" max="11" width="15.28515625" style="129" customWidth="1"/>
    <col min="12" max="12" width="18.140625" style="129" customWidth="1"/>
    <col min="13" max="13" width="17.140625" style="129" customWidth="1"/>
    <col min="14" max="14" width="17.42578125" style="129" customWidth="1"/>
    <col min="15" max="15" width="16.5703125" style="129" customWidth="1"/>
    <col min="16" max="21" width="16.7109375" style="129" customWidth="1"/>
    <col min="22" max="23" width="17.28515625" style="129" customWidth="1"/>
    <col min="24" max="24" width="16.7109375" style="129" customWidth="1"/>
    <col min="25" max="26" width="15.28515625" style="129" customWidth="1"/>
    <col min="27" max="27" width="15.85546875" style="129" customWidth="1"/>
    <col min="28" max="28" width="18.7109375" style="129" customWidth="1"/>
    <col min="29" max="29" width="20.140625" style="129" customWidth="1"/>
    <col min="30" max="30" width="18.140625" style="129" customWidth="1"/>
    <col min="31" max="31" width="17.140625" style="129" customWidth="1"/>
    <col min="32" max="16384" width="9.140625" style="12"/>
  </cols>
  <sheetData>
    <row r="1" spans="1:31" s="5" customFormat="1" ht="14.25" customHeight="1" x14ac:dyDescent="0.2">
      <c r="A1" s="288"/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</row>
    <row r="2" spans="1:31" s="5" customFormat="1" ht="14.25" customHeight="1" x14ac:dyDescent="0.2">
      <c r="A2" s="288"/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</row>
    <row r="3" spans="1:31" s="5" customFormat="1" ht="14.25" customHeight="1" thickBot="1" x14ac:dyDescent="0.25">
      <c r="A3" s="288"/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</row>
    <row r="4" spans="1:31" s="1" customFormat="1" ht="18.75" thickBot="1" x14ac:dyDescent="0.3">
      <c r="A4" s="25"/>
      <c r="B4" s="289" t="s">
        <v>122</v>
      </c>
      <c r="C4" s="290"/>
      <c r="D4" s="290"/>
      <c r="E4" s="291"/>
      <c r="F4" s="285" t="s">
        <v>127</v>
      </c>
      <c r="G4" s="286"/>
      <c r="H4" s="286"/>
      <c r="I4" s="286"/>
      <c r="J4" s="286"/>
      <c r="K4" s="286"/>
      <c r="L4" s="286"/>
      <c r="M4" s="287"/>
      <c r="N4" s="285" t="s">
        <v>67</v>
      </c>
      <c r="O4" s="287"/>
      <c r="P4" s="285" t="s">
        <v>152</v>
      </c>
      <c r="Q4" s="286"/>
      <c r="R4" s="287"/>
      <c r="S4" s="285" t="s">
        <v>163</v>
      </c>
      <c r="T4" s="286"/>
      <c r="U4" s="286"/>
      <c r="V4" s="287"/>
      <c r="W4" s="285" t="s">
        <v>156</v>
      </c>
      <c r="X4" s="286"/>
      <c r="Y4" s="286"/>
      <c r="Z4" s="286"/>
      <c r="AA4" s="287"/>
      <c r="AB4" s="282" t="s">
        <v>181</v>
      </c>
      <c r="AC4" s="283"/>
      <c r="AD4" s="283"/>
      <c r="AE4" s="284"/>
    </row>
    <row r="5" spans="1:31" s="1" customFormat="1" ht="16.5" customHeight="1" x14ac:dyDescent="0.25">
      <c r="A5" s="28" t="s">
        <v>0</v>
      </c>
      <c r="B5" s="131" t="s">
        <v>7</v>
      </c>
      <c r="C5" s="132" t="s">
        <v>8</v>
      </c>
      <c r="D5" s="132" t="s">
        <v>9</v>
      </c>
      <c r="E5" s="132" t="s">
        <v>10</v>
      </c>
      <c r="F5" s="132" t="s">
        <v>187</v>
      </c>
      <c r="G5" s="132" t="s">
        <v>11</v>
      </c>
      <c r="H5" s="132" t="s">
        <v>125</v>
      </c>
      <c r="I5" s="132" t="s">
        <v>126</v>
      </c>
      <c r="J5" s="132" t="s">
        <v>188</v>
      </c>
      <c r="K5" s="132" t="s">
        <v>150</v>
      </c>
      <c r="L5" s="132" t="s">
        <v>12</v>
      </c>
      <c r="M5" s="132" t="s">
        <v>10</v>
      </c>
      <c r="N5" s="132" t="s">
        <v>13</v>
      </c>
      <c r="O5" s="29" t="s">
        <v>42</v>
      </c>
      <c r="P5" s="134" t="s">
        <v>153</v>
      </c>
      <c r="Q5" s="134" t="s">
        <v>155</v>
      </c>
      <c r="R5" s="135" t="s">
        <v>154</v>
      </c>
      <c r="S5" s="131" t="s">
        <v>159</v>
      </c>
      <c r="T5" s="200" t="s">
        <v>155</v>
      </c>
      <c r="U5" s="132" t="s">
        <v>154</v>
      </c>
      <c r="V5" s="136" t="s">
        <v>166</v>
      </c>
      <c r="W5" s="134" t="s">
        <v>161</v>
      </c>
      <c r="X5" s="134" t="s">
        <v>153</v>
      </c>
      <c r="Y5" s="134" t="s">
        <v>155</v>
      </c>
      <c r="Z5" s="135" t="s">
        <v>154</v>
      </c>
      <c r="AA5" s="136" t="s">
        <v>164</v>
      </c>
      <c r="AB5" s="131" t="s">
        <v>182</v>
      </c>
      <c r="AC5" s="132" t="s">
        <v>183</v>
      </c>
      <c r="AD5" s="132" t="s">
        <v>184</v>
      </c>
      <c r="AE5" s="29" t="s">
        <v>10</v>
      </c>
    </row>
    <row r="6" spans="1:31" s="1" customFormat="1" ht="15" customHeight="1" x14ac:dyDescent="0.2">
      <c r="A6" s="30" t="s">
        <v>1</v>
      </c>
      <c r="B6" s="137">
        <v>85</v>
      </c>
      <c r="C6" s="138">
        <v>86</v>
      </c>
      <c r="D6" s="138">
        <v>71</v>
      </c>
      <c r="E6" s="155">
        <f>SUM(B6:D6)</f>
        <v>242</v>
      </c>
      <c r="F6" s="139">
        <v>47700</v>
      </c>
      <c r="G6" s="139">
        <v>18900</v>
      </c>
      <c r="H6" s="147">
        <v>0</v>
      </c>
      <c r="I6" s="139">
        <v>3600</v>
      </c>
      <c r="J6" s="139">
        <v>0</v>
      </c>
      <c r="K6" s="138">
        <v>17210</v>
      </c>
      <c r="L6" s="138">
        <v>0</v>
      </c>
      <c r="M6" s="163">
        <f>SUM(F6:L6)</f>
        <v>87410</v>
      </c>
      <c r="N6" s="138">
        <v>1</v>
      </c>
      <c r="O6" s="140">
        <v>0</v>
      </c>
      <c r="P6" s="138">
        <v>0</v>
      </c>
      <c r="Q6" s="138">
        <v>0</v>
      </c>
      <c r="R6" s="201">
        <v>0</v>
      </c>
      <c r="S6" s="137">
        <v>0</v>
      </c>
      <c r="T6" s="183">
        <v>0</v>
      </c>
      <c r="U6" s="138">
        <v>0</v>
      </c>
      <c r="V6" s="192">
        <f>SUM(S6:U6)</f>
        <v>0</v>
      </c>
      <c r="W6" s="138">
        <v>0</v>
      </c>
      <c r="X6" s="138">
        <v>0</v>
      </c>
      <c r="Y6" s="138">
        <v>0</v>
      </c>
      <c r="Z6" s="183">
        <v>0</v>
      </c>
      <c r="AA6" s="192" t="str">
        <f>IF(SUM(W6:Z6)&gt;0,AVERAGEIF(W6:Z6,"&lt;&gt;0"),"-")</f>
        <v>-</v>
      </c>
      <c r="AB6" s="142">
        <v>0</v>
      </c>
      <c r="AC6" s="138">
        <v>0</v>
      </c>
      <c r="AD6" s="138">
        <v>0</v>
      </c>
      <c r="AE6" s="123">
        <f>SUM(AB6:AD6)</f>
        <v>0</v>
      </c>
    </row>
    <row r="7" spans="1:31" s="1" customFormat="1" ht="15" customHeight="1" x14ac:dyDescent="0.2">
      <c r="A7" s="30" t="s">
        <v>2</v>
      </c>
      <c r="B7" s="137">
        <v>80</v>
      </c>
      <c r="C7" s="138">
        <v>115</v>
      </c>
      <c r="D7" s="138">
        <v>85</v>
      </c>
      <c r="E7" s="155">
        <f>SUM(B7:D7)</f>
        <v>280</v>
      </c>
      <c r="F7" s="141">
        <v>46050</v>
      </c>
      <c r="G7" s="139">
        <v>15000</v>
      </c>
      <c r="H7" s="147">
        <v>0</v>
      </c>
      <c r="I7" s="139">
        <v>2400</v>
      </c>
      <c r="J7" s="139">
        <v>0</v>
      </c>
      <c r="K7" s="138">
        <v>5900</v>
      </c>
      <c r="L7" s="138">
        <v>10500</v>
      </c>
      <c r="M7" s="163">
        <f>SUM(F7:L7)</f>
        <v>79850</v>
      </c>
      <c r="N7" s="138">
        <v>3</v>
      </c>
      <c r="O7" s="140">
        <v>3</v>
      </c>
      <c r="P7" s="138">
        <v>0</v>
      </c>
      <c r="Q7" s="138">
        <v>0</v>
      </c>
      <c r="R7" s="183">
        <v>0</v>
      </c>
      <c r="S7" s="137">
        <v>0</v>
      </c>
      <c r="T7" s="183">
        <v>0</v>
      </c>
      <c r="U7" s="138">
        <v>0</v>
      </c>
      <c r="V7" s="192">
        <f t="shared" ref="V7:V49" si="0">SUM(S7:U7)</f>
        <v>0</v>
      </c>
      <c r="W7" s="138">
        <v>0</v>
      </c>
      <c r="X7" s="138">
        <v>0</v>
      </c>
      <c r="Y7" s="138">
        <v>0</v>
      </c>
      <c r="Z7" s="183">
        <v>0</v>
      </c>
      <c r="AA7" s="192" t="str">
        <f t="shared" ref="AA7:AA49" si="1">IF(SUM(W7:Z7)&gt;0,AVERAGEIF(W7:Z7,"&lt;&gt;0"),"-")</f>
        <v>-</v>
      </c>
      <c r="AB7" s="142">
        <v>0</v>
      </c>
      <c r="AC7" s="138">
        <v>0</v>
      </c>
      <c r="AD7" s="138">
        <v>0</v>
      </c>
      <c r="AE7" s="123">
        <f t="shared" ref="AE7:AE49" si="2">SUM(AB7:AD7)</f>
        <v>0</v>
      </c>
    </row>
    <row r="8" spans="1:31" s="1" customFormat="1" ht="15" customHeight="1" x14ac:dyDescent="0.2">
      <c r="A8" s="30" t="s">
        <v>5</v>
      </c>
      <c r="B8" s="146">
        <v>3</v>
      </c>
      <c r="C8" s="147">
        <v>8</v>
      </c>
      <c r="D8" s="147">
        <v>1</v>
      </c>
      <c r="E8" s="155">
        <f>SUM(B8:D8)</f>
        <v>12</v>
      </c>
      <c r="F8" s="147">
        <v>3200</v>
      </c>
      <c r="G8" s="147">
        <v>0</v>
      </c>
      <c r="H8" s="147">
        <v>0</v>
      </c>
      <c r="I8" s="147">
        <v>0</v>
      </c>
      <c r="J8" s="147">
        <v>0</v>
      </c>
      <c r="K8" s="147">
        <v>0</v>
      </c>
      <c r="L8" s="147">
        <v>0</v>
      </c>
      <c r="M8" s="163">
        <f>SUM(F8:L8)</f>
        <v>3200</v>
      </c>
      <c r="N8" s="147">
        <v>0</v>
      </c>
      <c r="O8" s="149">
        <v>0</v>
      </c>
      <c r="P8" s="147">
        <v>0</v>
      </c>
      <c r="Q8" s="147">
        <v>0</v>
      </c>
      <c r="R8" s="184">
        <v>0</v>
      </c>
      <c r="S8" s="137">
        <v>0</v>
      </c>
      <c r="T8" s="183">
        <v>0</v>
      </c>
      <c r="U8" s="138">
        <v>0</v>
      </c>
      <c r="V8" s="192">
        <f t="shared" si="0"/>
        <v>0</v>
      </c>
      <c r="W8" s="147">
        <v>0</v>
      </c>
      <c r="X8" s="147">
        <v>0</v>
      </c>
      <c r="Y8" s="147">
        <v>0</v>
      </c>
      <c r="Z8" s="184">
        <v>0</v>
      </c>
      <c r="AA8" s="192" t="str">
        <f t="shared" si="1"/>
        <v>-</v>
      </c>
      <c r="AB8" s="146">
        <v>0</v>
      </c>
      <c r="AC8" s="147">
        <v>0</v>
      </c>
      <c r="AD8" s="147">
        <v>0</v>
      </c>
      <c r="AE8" s="123">
        <f t="shared" si="2"/>
        <v>0</v>
      </c>
    </row>
    <row r="9" spans="1:31" s="1" customFormat="1" ht="15" customHeight="1" x14ac:dyDescent="0.2">
      <c r="A9" s="30" t="s">
        <v>6</v>
      </c>
      <c r="B9" s="146">
        <v>14</v>
      </c>
      <c r="C9" s="147">
        <v>11</v>
      </c>
      <c r="D9" s="147">
        <v>6</v>
      </c>
      <c r="E9" s="155">
        <f>SUM(B9:D9)</f>
        <v>31</v>
      </c>
      <c r="F9" s="147">
        <v>5500</v>
      </c>
      <c r="G9" s="147">
        <v>0</v>
      </c>
      <c r="H9" s="147">
        <v>0</v>
      </c>
      <c r="I9" s="147">
        <v>0</v>
      </c>
      <c r="J9" s="147">
        <v>0</v>
      </c>
      <c r="K9" s="147">
        <v>0</v>
      </c>
      <c r="L9" s="147">
        <v>0</v>
      </c>
      <c r="M9" s="163">
        <f>SUM(F9:L9)</f>
        <v>5500</v>
      </c>
      <c r="N9" s="147">
        <v>5</v>
      </c>
      <c r="O9" s="149">
        <v>0</v>
      </c>
      <c r="P9" s="147">
        <v>0</v>
      </c>
      <c r="Q9" s="147">
        <v>0</v>
      </c>
      <c r="R9" s="184">
        <v>0</v>
      </c>
      <c r="S9" s="137">
        <v>0</v>
      </c>
      <c r="T9" s="183">
        <v>0</v>
      </c>
      <c r="U9" s="138">
        <v>0</v>
      </c>
      <c r="V9" s="192">
        <f t="shared" si="0"/>
        <v>0</v>
      </c>
      <c r="W9" s="147">
        <v>0</v>
      </c>
      <c r="X9" s="147">
        <v>0</v>
      </c>
      <c r="Y9" s="147">
        <v>0</v>
      </c>
      <c r="Z9" s="184">
        <v>0</v>
      </c>
      <c r="AA9" s="192" t="str">
        <f t="shared" si="1"/>
        <v>-</v>
      </c>
      <c r="AB9" s="146">
        <v>0</v>
      </c>
      <c r="AC9" s="147">
        <v>0</v>
      </c>
      <c r="AD9" s="147">
        <v>0</v>
      </c>
      <c r="AE9" s="123">
        <f t="shared" si="2"/>
        <v>0</v>
      </c>
    </row>
    <row r="10" spans="1:31" s="1" customFormat="1" ht="15" customHeight="1" x14ac:dyDescent="0.2">
      <c r="A10" s="237"/>
      <c r="B10" s="170">
        <f t="shared" ref="B10:U10" si="3">SUM(B6:B9)</f>
        <v>182</v>
      </c>
      <c r="C10" s="156">
        <f t="shared" si="3"/>
        <v>220</v>
      </c>
      <c r="D10" s="156">
        <f t="shared" si="3"/>
        <v>163</v>
      </c>
      <c r="E10" s="156">
        <f t="shared" si="3"/>
        <v>565</v>
      </c>
      <c r="F10" s="156">
        <f t="shared" si="3"/>
        <v>102450</v>
      </c>
      <c r="G10" s="156">
        <f t="shared" si="3"/>
        <v>33900</v>
      </c>
      <c r="H10" s="156">
        <f t="shared" si="3"/>
        <v>0</v>
      </c>
      <c r="I10" s="156">
        <f t="shared" si="3"/>
        <v>6000</v>
      </c>
      <c r="J10" s="156">
        <f t="shared" si="3"/>
        <v>0</v>
      </c>
      <c r="K10" s="156">
        <f t="shared" si="3"/>
        <v>23110</v>
      </c>
      <c r="L10" s="156">
        <f t="shared" si="3"/>
        <v>10500</v>
      </c>
      <c r="M10" s="156">
        <f t="shared" si="3"/>
        <v>175960</v>
      </c>
      <c r="N10" s="156">
        <f t="shared" si="3"/>
        <v>9</v>
      </c>
      <c r="O10" s="161">
        <f t="shared" si="3"/>
        <v>3</v>
      </c>
      <c r="P10" s="156">
        <f t="shared" si="3"/>
        <v>0</v>
      </c>
      <c r="Q10" s="156">
        <f t="shared" si="3"/>
        <v>0</v>
      </c>
      <c r="R10" s="173">
        <f t="shared" si="3"/>
        <v>0</v>
      </c>
      <c r="S10" s="194">
        <f t="shared" si="3"/>
        <v>0</v>
      </c>
      <c r="T10" s="173">
        <f t="shared" si="3"/>
        <v>0</v>
      </c>
      <c r="U10" s="156">
        <f t="shared" si="3"/>
        <v>0</v>
      </c>
      <c r="V10" s="161">
        <f>IF(SUM(V6:V9)&gt;0,AVERAGEIF(V6:V9,"&lt;&gt;0"),0)</f>
        <v>0</v>
      </c>
      <c r="W10" s="175">
        <f>SUM(W6:W9)</f>
        <v>0</v>
      </c>
      <c r="X10" s="156">
        <f>SUM(X6:X9)</f>
        <v>0</v>
      </c>
      <c r="Y10" s="156">
        <f>SUM(Y6:Y9)</f>
        <v>0</v>
      </c>
      <c r="Z10" s="171">
        <f>SUM(Z6:Z9)</f>
        <v>0</v>
      </c>
      <c r="AA10" s="161">
        <f>IF(SUM(AA6:AA9),AVERAGEIF(AA6:AA9,"&lt;&gt;0"),0)</f>
        <v>0</v>
      </c>
      <c r="AB10" s="194">
        <f>SUM(AB6:AB9)</f>
        <v>0</v>
      </c>
      <c r="AC10" s="156">
        <f>SUM(AC6:AC9)</f>
        <v>0</v>
      </c>
      <c r="AD10" s="156">
        <f>SUM(AD6:AD9)</f>
        <v>0</v>
      </c>
      <c r="AE10" s="161">
        <f>SUM(AE6:AE9)</f>
        <v>0</v>
      </c>
    </row>
    <row r="11" spans="1:31" s="1" customFormat="1" ht="15" customHeight="1" x14ac:dyDescent="0.2">
      <c r="A11" s="30" t="s">
        <v>65</v>
      </c>
      <c r="B11" s="146">
        <v>89</v>
      </c>
      <c r="C11" s="147">
        <v>81</v>
      </c>
      <c r="D11" s="147">
        <v>77</v>
      </c>
      <c r="E11" s="155">
        <f>SUM(B11:D11)</f>
        <v>247</v>
      </c>
      <c r="F11" s="147">
        <v>46750</v>
      </c>
      <c r="G11" s="147">
        <v>4000</v>
      </c>
      <c r="H11" s="147">
        <v>0</v>
      </c>
      <c r="I11" s="147">
        <v>0</v>
      </c>
      <c r="J11" s="147">
        <v>0</v>
      </c>
      <c r="K11" s="147">
        <v>0</v>
      </c>
      <c r="L11" s="147">
        <v>0</v>
      </c>
      <c r="M11" s="163">
        <f>SUM(F11:L11)</f>
        <v>50750</v>
      </c>
      <c r="N11" s="147">
        <v>0</v>
      </c>
      <c r="O11" s="149">
        <v>0</v>
      </c>
      <c r="P11" s="147">
        <v>0</v>
      </c>
      <c r="Q11" s="147">
        <v>0</v>
      </c>
      <c r="R11" s="202">
        <v>0</v>
      </c>
      <c r="S11" s="137">
        <v>0</v>
      </c>
      <c r="T11" s="183">
        <v>0</v>
      </c>
      <c r="U11" s="138">
        <v>0</v>
      </c>
      <c r="V11" s="192">
        <f t="shared" si="0"/>
        <v>0</v>
      </c>
      <c r="W11" s="147">
        <v>0</v>
      </c>
      <c r="X11" s="147">
        <v>0</v>
      </c>
      <c r="Y11" s="147">
        <v>0</v>
      </c>
      <c r="Z11" s="184">
        <v>0</v>
      </c>
      <c r="AA11" s="192" t="str">
        <f t="shared" si="1"/>
        <v>-</v>
      </c>
      <c r="AB11" s="146">
        <v>0</v>
      </c>
      <c r="AC11" s="147">
        <v>0</v>
      </c>
      <c r="AD11" s="147">
        <v>0</v>
      </c>
      <c r="AE11" s="123">
        <f t="shared" si="2"/>
        <v>0</v>
      </c>
    </row>
    <row r="12" spans="1:31" s="1" customFormat="1" ht="15" customHeight="1" x14ac:dyDescent="0.2">
      <c r="A12" s="30" t="s">
        <v>4</v>
      </c>
      <c r="B12" s="146">
        <v>22</v>
      </c>
      <c r="C12" s="148">
        <v>40</v>
      </c>
      <c r="D12" s="147">
        <v>46</v>
      </c>
      <c r="E12" s="155">
        <f>SUM(B12:D12)</f>
        <v>108</v>
      </c>
      <c r="F12" s="147">
        <v>14950</v>
      </c>
      <c r="G12" s="147">
        <v>7250</v>
      </c>
      <c r="H12" s="147">
        <v>0</v>
      </c>
      <c r="I12" s="147">
        <v>0</v>
      </c>
      <c r="J12" s="147">
        <v>0</v>
      </c>
      <c r="K12" s="147">
        <v>0</v>
      </c>
      <c r="L12" s="147">
        <v>0</v>
      </c>
      <c r="M12" s="163">
        <f>SUM(F12:L12)</f>
        <v>22200</v>
      </c>
      <c r="N12" s="147">
        <v>2</v>
      </c>
      <c r="O12" s="149">
        <v>0</v>
      </c>
      <c r="P12" s="147">
        <v>0</v>
      </c>
      <c r="Q12" s="147">
        <v>0</v>
      </c>
      <c r="R12" s="184">
        <v>0</v>
      </c>
      <c r="S12" s="137">
        <v>0</v>
      </c>
      <c r="T12" s="183">
        <v>0</v>
      </c>
      <c r="U12" s="138">
        <v>0</v>
      </c>
      <c r="V12" s="192">
        <f t="shared" si="0"/>
        <v>0</v>
      </c>
      <c r="W12" s="147">
        <v>0</v>
      </c>
      <c r="X12" s="147">
        <v>0</v>
      </c>
      <c r="Y12" s="147">
        <v>0</v>
      </c>
      <c r="Z12" s="184">
        <v>0</v>
      </c>
      <c r="AA12" s="192" t="str">
        <f t="shared" si="1"/>
        <v>-</v>
      </c>
      <c r="AB12" s="146">
        <v>0</v>
      </c>
      <c r="AC12" s="147">
        <v>0</v>
      </c>
      <c r="AD12" s="147">
        <v>0</v>
      </c>
      <c r="AE12" s="123">
        <f t="shared" si="2"/>
        <v>0</v>
      </c>
    </row>
    <row r="13" spans="1:31" s="1" customFormat="1" ht="15" customHeight="1" x14ac:dyDescent="0.2">
      <c r="A13" s="30" t="s">
        <v>3</v>
      </c>
      <c r="B13" s="146">
        <v>22</v>
      </c>
      <c r="C13" s="147">
        <v>25</v>
      </c>
      <c r="D13" s="147">
        <v>29</v>
      </c>
      <c r="E13" s="155">
        <f>SUM(B13:D13)</f>
        <v>76</v>
      </c>
      <c r="F13" s="147">
        <v>28050</v>
      </c>
      <c r="G13" s="147">
        <v>2000</v>
      </c>
      <c r="H13" s="147">
        <v>0</v>
      </c>
      <c r="I13" s="147">
        <v>0</v>
      </c>
      <c r="J13" s="147">
        <v>0</v>
      </c>
      <c r="K13" s="147">
        <v>0</v>
      </c>
      <c r="L13" s="147">
        <v>8000</v>
      </c>
      <c r="M13" s="163">
        <f>SUM(F13:L13)</f>
        <v>38050</v>
      </c>
      <c r="N13" s="147">
        <v>2</v>
      </c>
      <c r="O13" s="149">
        <v>0</v>
      </c>
      <c r="P13" s="147">
        <v>0</v>
      </c>
      <c r="Q13" s="147">
        <v>0</v>
      </c>
      <c r="R13" s="184">
        <v>0</v>
      </c>
      <c r="S13" s="137">
        <v>0</v>
      </c>
      <c r="T13" s="183">
        <v>0</v>
      </c>
      <c r="U13" s="138">
        <v>0</v>
      </c>
      <c r="V13" s="192">
        <f t="shared" si="0"/>
        <v>0</v>
      </c>
      <c r="W13" s="147">
        <v>0</v>
      </c>
      <c r="X13" s="147">
        <v>0</v>
      </c>
      <c r="Y13" s="147">
        <v>0</v>
      </c>
      <c r="Z13" s="184">
        <v>0</v>
      </c>
      <c r="AA13" s="192" t="str">
        <f t="shared" si="1"/>
        <v>-</v>
      </c>
      <c r="AB13" s="146">
        <v>0</v>
      </c>
      <c r="AC13" s="147">
        <v>0</v>
      </c>
      <c r="AD13" s="147">
        <v>0</v>
      </c>
      <c r="AE13" s="123">
        <f t="shared" si="2"/>
        <v>0</v>
      </c>
    </row>
    <row r="14" spans="1:31" s="1" customFormat="1" ht="15" customHeight="1" x14ac:dyDescent="0.2">
      <c r="A14" s="30" t="s">
        <v>107</v>
      </c>
      <c r="B14" s="146">
        <v>4</v>
      </c>
      <c r="C14" s="147">
        <v>2</v>
      </c>
      <c r="D14" s="147">
        <v>4</v>
      </c>
      <c r="E14" s="155">
        <f>SUM(B14:D14)</f>
        <v>10</v>
      </c>
      <c r="F14" s="147">
        <v>900</v>
      </c>
      <c r="G14" s="147">
        <v>200</v>
      </c>
      <c r="H14" s="147">
        <v>0</v>
      </c>
      <c r="I14" s="147">
        <v>0</v>
      </c>
      <c r="J14" s="147">
        <v>0</v>
      </c>
      <c r="K14" s="147">
        <v>0</v>
      </c>
      <c r="L14" s="147">
        <v>0</v>
      </c>
      <c r="M14" s="163">
        <f>SUM(F14:L14)</f>
        <v>1100</v>
      </c>
      <c r="N14" s="147">
        <v>3</v>
      </c>
      <c r="O14" s="149">
        <v>0</v>
      </c>
      <c r="P14" s="147">
        <v>0</v>
      </c>
      <c r="Q14" s="147">
        <v>0</v>
      </c>
      <c r="R14" s="184">
        <v>0</v>
      </c>
      <c r="S14" s="137">
        <v>0</v>
      </c>
      <c r="T14" s="183">
        <v>0</v>
      </c>
      <c r="U14" s="138">
        <v>0</v>
      </c>
      <c r="V14" s="192">
        <f t="shared" si="0"/>
        <v>0</v>
      </c>
      <c r="W14" s="147">
        <v>0</v>
      </c>
      <c r="X14" s="147">
        <v>0</v>
      </c>
      <c r="Y14" s="147">
        <v>0</v>
      </c>
      <c r="Z14" s="184">
        <v>0</v>
      </c>
      <c r="AA14" s="192" t="str">
        <f t="shared" si="1"/>
        <v>-</v>
      </c>
      <c r="AB14" s="146">
        <v>0</v>
      </c>
      <c r="AC14" s="147">
        <v>0</v>
      </c>
      <c r="AD14" s="147">
        <v>0</v>
      </c>
      <c r="AE14" s="123">
        <f t="shared" si="2"/>
        <v>0</v>
      </c>
    </row>
    <row r="15" spans="1:31" s="1" customFormat="1" ht="15" customHeight="1" x14ac:dyDescent="0.2">
      <c r="A15" s="236"/>
      <c r="B15" s="170">
        <f t="shared" ref="B15:U15" si="4">SUM(B11:B14)</f>
        <v>137</v>
      </c>
      <c r="C15" s="156">
        <f t="shared" si="4"/>
        <v>148</v>
      </c>
      <c r="D15" s="156">
        <f t="shared" si="4"/>
        <v>156</v>
      </c>
      <c r="E15" s="156">
        <f t="shared" si="4"/>
        <v>441</v>
      </c>
      <c r="F15" s="156">
        <f t="shared" si="4"/>
        <v>90650</v>
      </c>
      <c r="G15" s="156">
        <f t="shared" si="4"/>
        <v>13450</v>
      </c>
      <c r="H15" s="156">
        <f t="shared" si="4"/>
        <v>0</v>
      </c>
      <c r="I15" s="156">
        <f t="shared" si="4"/>
        <v>0</v>
      </c>
      <c r="J15" s="156">
        <f t="shared" si="4"/>
        <v>0</v>
      </c>
      <c r="K15" s="156">
        <f t="shared" si="4"/>
        <v>0</v>
      </c>
      <c r="L15" s="156">
        <f t="shared" si="4"/>
        <v>8000</v>
      </c>
      <c r="M15" s="156">
        <f t="shared" si="4"/>
        <v>112100</v>
      </c>
      <c r="N15" s="156">
        <f t="shared" si="4"/>
        <v>7</v>
      </c>
      <c r="O15" s="161">
        <f t="shared" si="4"/>
        <v>0</v>
      </c>
      <c r="P15" s="156">
        <f t="shared" si="4"/>
        <v>0</v>
      </c>
      <c r="Q15" s="156">
        <f t="shared" si="4"/>
        <v>0</v>
      </c>
      <c r="R15" s="173">
        <f t="shared" si="4"/>
        <v>0</v>
      </c>
      <c r="S15" s="194">
        <f t="shared" si="4"/>
        <v>0</v>
      </c>
      <c r="T15" s="173">
        <f t="shared" si="4"/>
        <v>0</v>
      </c>
      <c r="U15" s="156">
        <f t="shared" si="4"/>
        <v>0</v>
      </c>
      <c r="V15" s="161">
        <f>IF(SUM(V11:V14)&gt;0,AVERAGEIF(V11:V14,"&lt;&gt;0"),0)</f>
        <v>0</v>
      </c>
      <c r="W15" s="156">
        <f>SUM(W11:W14)</f>
        <v>0</v>
      </c>
      <c r="X15" s="156">
        <f>SUM(X11:X14)</f>
        <v>0</v>
      </c>
      <c r="Y15" s="156">
        <f>SUM(Y11:Y14)</f>
        <v>0</v>
      </c>
      <c r="Z15" s="173">
        <f>SUM(Z11:Z14)</f>
        <v>0</v>
      </c>
      <c r="AA15" s="161">
        <f>IF(SUM(AA11:AA14),AVERAGEIF(AA11:AA14,"&lt;&gt;0"),0)</f>
        <v>0</v>
      </c>
      <c r="AB15" s="194">
        <f>SUM(AB11:AB14)</f>
        <v>0</v>
      </c>
      <c r="AC15" s="156">
        <f>SUM(AC11:AC14)</f>
        <v>0</v>
      </c>
      <c r="AD15" s="156">
        <f>SUM(AD11:AD14)</f>
        <v>0</v>
      </c>
      <c r="AE15" s="161">
        <f>SUM(AE11:AE14)</f>
        <v>0</v>
      </c>
    </row>
    <row r="16" spans="1:31" s="1" customFormat="1" ht="15" customHeight="1" x14ac:dyDescent="0.2">
      <c r="A16" s="30" t="s">
        <v>14</v>
      </c>
      <c r="B16" s="146">
        <v>52</v>
      </c>
      <c r="C16" s="147">
        <v>92</v>
      </c>
      <c r="D16" s="147">
        <v>82</v>
      </c>
      <c r="E16" s="155">
        <f>SUM(B16:D16)</f>
        <v>226</v>
      </c>
      <c r="F16" s="147">
        <v>32980</v>
      </c>
      <c r="G16" s="147">
        <v>11000</v>
      </c>
      <c r="H16" s="147">
        <v>0</v>
      </c>
      <c r="I16" s="147">
        <v>4500</v>
      </c>
      <c r="J16" s="147">
        <v>0</v>
      </c>
      <c r="K16" s="147">
        <v>0</v>
      </c>
      <c r="L16" s="147">
        <v>4000</v>
      </c>
      <c r="M16" s="163">
        <f>SUM(F16:L16)</f>
        <v>52480</v>
      </c>
      <c r="N16" s="147">
        <v>0</v>
      </c>
      <c r="O16" s="149">
        <v>0</v>
      </c>
      <c r="P16" s="147">
        <v>0</v>
      </c>
      <c r="Q16" s="147">
        <v>0</v>
      </c>
      <c r="R16" s="202">
        <v>0</v>
      </c>
      <c r="S16" s="137">
        <v>0</v>
      </c>
      <c r="T16" s="183">
        <v>0</v>
      </c>
      <c r="U16" s="138">
        <v>0</v>
      </c>
      <c r="V16" s="192">
        <f t="shared" si="0"/>
        <v>0</v>
      </c>
      <c r="W16" s="147">
        <v>0</v>
      </c>
      <c r="X16" s="147">
        <v>0</v>
      </c>
      <c r="Y16" s="147">
        <v>0</v>
      </c>
      <c r="Z16" s="184">
        <v>0</v>
      </c>
      <c r="AA16" s="192" t="str">
        <f t="shared" si="1"/>
        <v>-</v>
      </c>
      <c r="AB16" s="146">
        <v>0</v>
      </c>
      <c r="AC16" s="147">
        <v>0</v>
      </c>
      <c r="AD16" s="147">
        <v>0</v>
      </c>
      <c r="AE16" s="123">
        <f t="shared" si="2"/>
        <v>0</v>
      </c>
    </row>
    <row r="17" spans="1:31" s="1" customFormat="1" ht="15" customHeight="1" x14ac:dyDescent="0.2">
      <c r="A17" s="30" t="s">
        <v>15</v>
      </c>
      <c r="B17" s="146">
        <v>58</v>
      </c>
      <c r="C17" s="147">
        <v>86</v>
      </c>
      <c r="D17" s="147">
        <v>117</v>
      </c>
      <c r="E17" s="155">
        <f>SUM(B17:D17)</f>
        <v>261</v>
      </c>
      <c r="F17" s="147">
        <f>14340+4950</f>
        <v>19290</v>
      </c>
      <c r="G17" s="147">
        <v>26400</v>
      </c>
      <c r="H17" s="147">
        <v>0</v>
      </c>
      <c r="I17" s="147">
        <v>0</v>
      </c>
      <c r="J17" s="147">
        <v>0</v>
      </c>
      <c r="K17" s="147">
        <v>4420</v>
      </c>
      <c r="L17" s="147">
        <v>0</v>
      </c>
      <c r="M17" s="163">
        <f>SUM(F17:L17)</f>
        <v>50110</v>
      </c>
      <c r="N17" s="147">
        <v>4</v>
      </c>
      <c r="O17" s="149">
        <v>0</v>
      </c>
      <c r="P17" s="147">
        <v>0</v>
      </c>
      <c r="Q17" s="147">
        <v>0</v>
      </c>
      <c r="R17" s="184">
        <v>0</v>
      </c>
      <c r="S17" s="137">
        <v>0</v>
      </c>
      <c r="T17" s="183">
        <v>0</v>
      </c>
      <c r="U17" s="138">
        <v>0</v>
      </c>
      <c r="V17" s="192">
        <f t="shared" si="0"/>
        <v>0</v>
      </c>
      <c r="W17" s="147">
        <v>0</v>
      </c>
      <c r="X17" s="147">
        <v>0</v>
      </c>
      <c r="Y17" s="147">
        <v>0</v>
      </c>
      <c r="Z17" s="184">
        <v>0</v>
      </c>
      <c r="AA17" s="192" t="str">
        <f t="shared" si="1"/>
        <v>-</v>
      </c>
      <c r="AB17" s="146">
        <v>0</v>
      </c>
      <c r="AC17" s="147">
        <v>0</v>
      </c>
      <c r="AD17" s="147">
        <v>0</v>
      </c>
      <c r="AE17" s="123">
        <f t="shared" si="2"/>
        <v>0</v>
      </c>
    </row>
    <row r="18" spans="1:31" s="1" customFormat="1" ht="15" customHeight="1" x14ac:dyDescent="0.2">
      <c r="A18" s="30" t="s">
        <v>16</v>
      </c>
      <c r="B18" s="146">
        <v>9</v>
      </c>
      <c r="C18" s="147">
        <v>17</v>
      </c>
      <c r="D18" s="147">
        <v>16</v>
      </c>
      <c r="E18" s="155">
        <f>SUM(B18:D18)</f>
        <v>42</v>
      </c>
      <c r="F18" s="147">
        <f>5690+1250</f>
        <v>6940</v>
      </c>
      <c r="G18" s="147">
        <v>22000</v>
      </c>
      <c r="H18" s="147">
        <v>0</v>
      </c>
      <c r="I18" s="147">
        <v>740</v>
      </c>
      <c r="J18" s="147">
        <v>0</v>
      </c>
      <c r="K18" s="147">
        <v>0</v>
      </c>
      <c r="L18" s="147">
        <v>0</v>
      </c>
      <c r="M18" s="163">
        <f>SUM(F18:L18)</f>
        <v>29680</v>
      </c>
      <c r="N18" s="154">
        <v>6</v>
      </c>
      <c r="O18" s="149">
        <v>0</v>
      </c>
      <c r="P18" s="147">
        <v>0</v>
      </c>
      <c r="Q18" s="147">
        <v>0</v>
      </c>
      <c r="R18" s="184">
        <v>0</v>
      </c>
      <c r="S18" s="137">
        <v>0</v>
      </c>
      <c r="T18" s="183">
        <v>0</v>
      </c>
      <c r="U18" s="138">
        <v>0</v>
      </c>
      <c r="V18" s="192">
        <f t="shared" si="0"/>
        <v>0</v>
      </c>
      <c r="W18" s="147">
        <v>0</v>
      </c>
      <c r="X18" s="147">
        <v>0</v>
      </c>
      <c r="Y18" s="147">
        <v>0</v>
      </c>
      <c r="Z18" s="184">
        <v>0</v>
      </c>
      <c r="AA18" s="192" t="str">
        <f t="shared" si="1"/>
        <v>-</v>
      </c>
      <c r="AB18" s="146">
        <v>0</v>
      </c>
      <c r="AC18" s="147">
        <v>0</v>
      </c>
      <c r="AD18" s="147">
        <v>0</v>
      </c>
      <c r="AE18" s="123">
        <f t="shared" si="2"/>
        <v>0</v>
      </c>
    </row>
    <row r="19" spans="1:31" s="1" customFormat="1" ht="15" customHeight="1" x14ac:dyDescent="0.2">
      <c r="A19" s="30" t="s">
        <v>17</v>
      </c>
      <c r="B19" s="146">
        <v>5</v>
      </c>
      <c r="C19" s="147">
        <v>3</v>
      </c>
      <c r="D19" s="147">
        <v>7</v>
      </c>
      <c r="E19" s="155">
        <f>SUM(B19:D19)</f>
        <v>15</v>
      </c>
      <c r="F19" s="147">
        <v>1920</v>
      </c>
      <c r="G19" s="147">
        <v>3000</v>
      </c>
      <c r="H19" s="147">
        <v>0</v>
      </c>
      <c r="I19" s="147">
        <v>0</v>
      </c>
      <c r="J19" s="147">
        <v>0</v>
      </c>
      <c r="K19" s="147">
        <v>520</v>
      </c>
      <c r="L19" s="147">
        <v>0</v>
      </c>
      <c r="M19" s="163">
        <f>SUM(F19:L19)</f>
        <v>5440</v>
      </c>
      <c r="N19" s="147">
        <v>2</v>
      </c>
      <c r="O19" s="149">
        <v>1</v>
      </c>
      <c r="P19" s="147">
        <v>0</v>
      </c>
      <c r="Q19" s="147">
        <v>0</v>
      </c>
      <c r="R19" s="184">
        <v>0</v>
      </c>
      <c r="S19" s="137">
        <v>0</v>
      </c>
      <c r="T19" s="183">
        <v>0</v>
      </c>
      <c r="U19" s="138">
        <v>0</v>
      </c>
      <c r="V19" s="192">
        <f t="shared" si="0"/>
        <v>0</v>
      </c>
      <c r="W19" s="147">
        <v>0</v>
      </c>
      <c r="X19" s="147">
        <v>0</v>
      </c>
      <c r="Y19" s="147">
        <v>0</v>
      </c>
      <c r="Z19" s="184">
        <v>0</v>
      </c>
      <c r="AA19" s="192" t="str">
        <f t="shared" si="1"/>
        <v>-</v>
      </c>
      <c r="AB19" s="146">
        <v>0</v>
      </c>
      <c r="AC19" s="147">
        <v>0</v>
      </c>
      <c r="AD19" s="147">
        <v>0</v>
      </c>
      <c r="AE19" s="123">
        <f t="shared" si="2"/>
        <v>0</v>
      </c>
    </row>
    <row r="20" spans="1:31" s="1" customFormat="1" ht="15" customHeight="1" x14ac:dyDescent="0.2">
      <c r="A20" s="30" t="s">
        <v>18</v>
      </c>
      <c r="B20" s="146">
        <v>13</v>
      </c>
      <c r="C20" s="147">
        <v>12</v>
      </c>
      <c r="D20" s="147">
        <v>12</v>
      </c>
      <c r="E20" s="155">
        <f>SUM(B20:D20)</f>
        <v>37</v>
      </c>
      <c r="F20" s="147">
        <f>3430+650</f>
        <v>4080</v>
      </c>
      <c r="G20" s="147">
        <v>5800</v>
      </c>
      <c r="H20" s="147">
        <v>0</v>
      </c>
      <c r="I20" s="147">
        <v>100</v>
      </c>
      <c r="J20" s="147">
        <v>0</v>
      </c>
      <c r="K20" s="147">
        <v>450</v>
      </c>
      <c r="L20" s="147">
        <v>0</v>
      </c>
      <c r="M20" s="163">
        <f>SUM(F20:L20)</f>
        <v>10430</v>
      </c>
      <c r="N20" s="147">
        <v>2</v>
      </c>
      <c r="O20" s="149">
        <v>1</v>
      </c>
      <c r="P20" s="147">
        <v>0</v>
      </c>
      <c r="Q20" s="147">
        <v>0</v>
      </c>
      <c r="R20" s="184">
        <v>0</v>
      </c>
      <c r="S20" s="137">
        <v>0</v>
      </c>
      <c r="T20" s="183">
        <v>0</v>
      </c>
      <c r="U20" s="138">
        <v>0</v>
      </c>
      <c r="V20" s="192">
        <f t="shared" si="0"/>
        <v>0</v>
      </c>
      <c r="W20" s="147">
        <v>0</v>
      </c>
      <c r="X20" s="147">
        <v>0</v>
      </c>
      <c r="Y20" s="147">
        <v>0</v>
      </c>
      <c r="Z20" s="184">
        <v>0</v>
      </c>
      <c r="AA20" s="192" t="str">
        <f t="shared" si="1"/>
        <v>-</v>
      </c>
      <c r="AB20" s="146">
        <v>0</v>
      </c>
      <c r="AC20" s="147">
        <v>0</v>
      </c>
      <c r="AD20" s="147">
        <v>0</v>
      </c>
      <c r="AE20" s="123">
        <f t="shared" si="2"/>
        <v>0</v>
      </c>
    </row>
    <row r="21" spans="1:31" s="1" customFormat="1" ht="15" customHeight="1" x14ac:dyDescent="0.2">
      <c r="A21" s="236"/>
      <c r="B21" s="158">
        <f t="shared" ref="B21:U21" si="5">SUM(B16:B20)</f>
        <v>137</v>
      </c>
      <c r="C21" s="157">
        <f t="shared" si="5"/>
        <v>210</v>
      </c>
      <c r="D21" s="159">
        <f t="shared" si="5"/>
        <v>234</v>
      </c>
      <c r="E21" s="157">
        <f t="shared" si="5"/>
        <v>581</v>
      </c>
      <c r="F21" s="157">
        <f t="shared" si="5"/>
        <v>65210</v>
      </c>
      <c r="G21" s="157">
        <f t="shared" si="5"/>
        <v>68200</v>
      </c>
      <c r="H21" s="157">
        <f t="shared" si="5"/>
        <v>0</v>
      </c>
      <c r="I21" s="157">
        <f t="shared" si="5"/>
        <v>5340</v>
      </c>
      <c r="J21" s="157">
        <f t="shared" si="5"/>
        <v>0</v>
      </c>
      <c r="K21" s="157">
        <f t="shared" si="5"/>
        <v>5390</v>
      </c>
      <c r="L21" s="157">
        <f t="shared" si="5"/>
        <v>4000</v>
      </c>
      <c r="M21" s="157">
        <f t="shared" si="5"/>
        <v>148140</v>
      </c>
      <c r="N21" s="157">
        <f t="shared" si="5"/>
        <v>14</v>
      </c>
      <c r="O21" s="162">
        <f t="shared" si="5"/>
        <v>2</v>
      </c>
      <c r="P21" s="157">
        <f t="shared" si="5"/>
        <v>0</v>
      </c>
      <c r="Q21" s="157">
        <f t="shared" si="5"/>
        <v>0</v>
      </c>
      <c r="R21" s="159">
        <f t="shared" si="5"/>
        <v>0</v>
      </c>
      <c r="S21" s="160">
        <f t="shared" si="5"/>
        <v>0</v>
      </c>
      <c r="T21" s="159">
        <f t="shared" si="5"/>
        <v>0</v>
      </c>
      <c r="U21" s="157">
        <f t="shared" si="5"/>
        <v>0</v>
      </c>
      <c r="V21" s="161">
        <f>IF(SUM(V16:V20)&gt;0,AVERAGEIF(V16:V20,"&lt;&gt;0"),0)</f>
        <v>0</v>
      </c>
      <c r="W21" s="157">
        <f>SUM(W16:W20)</f>
        <v>0</v>
      </c>
      <c r="X21" s="157">
        <f>SUM(X16:X20)</f>
        <v>0</v>
      </c>
      <c r="Y21" s="157">
        <f>SUM(Y16:Y20)</f>
        <v>0</v>
      </c>
      <c r="Z21" s="159">
        <f>SUM(Z16:Z20)</f>
        <v>0</v>
      </c>
      <c r="AA21" s="161">
        <f>IF(SUM(AA16:AA20),AVERAGEIF(AA16:AA20,"&lt;&gt;0"),0)</f>
        <v>0</v>
      </c>
      <c r="AB21" s="160">
        <f>SUM(AB16:AB20)</f>
        <v>0</v>
      </c>
      <c r="AC21" s="157">
        <f>SUM(AC16:AC20)</f>
        <v>0</v>
      </c>
      <c r="AD21" s="157">
        <f>SUM(AD16:AD20)</f>
        <v>0</v>
      </c>
      <c r="AE21" s="162">
        <f>SUM(AE16:AE20)</f>
        <v>0</v>
      </c>
    </row>
    <row r="22" spans="1:31" s="1" customFormat="1" ht="15" customHeight="1" x14ac:dyDescent="0.2">
      <c r="A22" s="30" t="s">
        <v>19</v>
      </c>
      <c r="B22" s="142">
        <v>21</v>
      </c>
      <c r="C22" s="139">
        <v>35</v>
      </c>
      <c r="D22" s="139">
        <v>50</v>
      </c>
      <c r="E22" s="155">
        <f>SUM(B22:D22)</f>
        <v>106</v>
      </c>
      <c r="F22" s="139">
        <v>8570</v>
      </c>
      <c r="G22" s="139">
        <v>21000</v>
      </c>
      <c r="H22" s="147">
        <v>0</v>
      </c>
      <c r="I22" s="139">
        <v>2750</v>
      </c>
      <c r="J22" s="139">
        <v>0</v>
      </c>
      <c r="K22" s="139">
        <v>3000</v>
      </c>
      <c r="L22" s="139">
        <v>0</v>
      </c>
      <c r="M22" s="163">
        <f>SUM(F22:L22)</f>
        <v>35320</v>
      </c>
      <c r="N22" s="139">
        <v>0</v>
      </c>
      <c r="O22" s="143">
        <v>0</v>
      </c>
      <c r="P22" s="139">
        <v>0</v>
      </c>
      <c r="Q22" s="139">
        <v>0</v>
      </c>
      <c r="R22" s="185">
        <v>0</v>
      </c>
      <c r="S22" s="137">
        <v>0</v>
      </c>
      <c r="T22" s="183">
        <v>0</v>
      </c>
      <c r="U22" s="138">
        <v>0</v>
      </c>
      <c r="V22" s="192">
        <f t="shared" si="0"/>
        <v>0</v>
      </c>
      <c r="W22" s="139">
        <v>0</v>
      </c>
      <c r="X22" s="139">
        <v>0</v>
      </c>
      <c r="Y22" s="139">
        <v>0</v>
      </c>
      <c r="Z22" s="185">
        <v>0</v>
      </c>
      <c r="AA22" s="192" t="str">
        <f t="shared" si="1"/>
        <v>-</v>
      </c>
      <c r="AB22" s="142">
        <v>0</v>
      </c>
      <c r="AC22" s="139">
        <v>0</v>
      </c>
      <c r="AD22" s="139">
        <v>0</v>
      </c>
      <c r="AE22" s="123">
        <f t="shared" si="2"/>
        <v>0</v>
      </c>
    </row>
    <row r="23" spans="1:31" s="1" customFormat="1" ht="15" customHeight="1" x14ac:dyDescent="0.2">
      <c r="A23" s="30" t="s">
        <v>20</v>
      </c>
      <c r="B23" s="142">
        <v>0</v>
      </c>
      <c r="C23" s="139">
        <v>0</v>
      </c>
      <c r="D23" s="139">
        <v>0</v>
      </c>
      <c r="E23" s="155">
        <f>SUM(B23:D23)</f>
        <v>0</v>
      </c>
      <c r="F23" s="139">
        <v>0</v>
      </c>
      <c r="G23" s="139">
        <v>0</v>
      </c>
      <c r="H23" s="147">
        <v>0</v>
      </c>
      <c r="I23" s="139">
        <v>0</v>
      </c>
      <c r="J23" s="139">
        <v>0</v>
      </c>
      <c r="K23" s="139">
        <v>0</v>
      </c>
      <c r="L23" s="139">
        <v>0</v>
      </c>
      <c r="M23" s="163">
        <f>SUM(F23:L23)</f>
        <v>0</v>
      </c>
      <c r="N23" s="139">
        <v>0</v>
      </c>
      <c r="O23" s="143">
        <v>0</v>
      </c>
      <c r="P23" s="139">
        <v>0</v>
      </c>
      <c r="Q23" s="139">
        <v>0</v>
      </c>
      <c r="R23" s="185">
        <v>0</v>
      </c>
      <c r="S23" s="137">
        <v>0</v>
      </c>
      <c r="T23" s="183">
        <v>0</v>
      </c>
      <c r="U23" s="138">
        <v>0</v>
      </c>
      <c r="V23" s="192">
        <f t="shared" si="0"/>
        <v>0</v>
      </c>
      <c r="W23" s="139">
        <v>0</v>
      </c>
      <c r="X23" s="139">
        <v>0</v>
      </c>
      <c r="Y23" s="139">
        <v>0</v>
      </c>
      <c r="Z23" s="185">
        <v>0</v>
      </c>
      <c r="AA23" s="192" t="str">
        <f t="shared" si="1"/>
        <v>-</v>
      </c>
      <c r="AB23" s="142">
        <v>0</v>
      </c>
      <c r="AC23" s="139">
        <v>0</v>
      </c>
      <c r="AD23" s="139">
        <v>0</v>
      </c>
      <c r="AE23" s="123">
        <f t="shared" si="2"/>
        <v>0</v>
      </c>
    </row>
    <row r="24" spans="1:31" s="1" customFormat="1" ht="15" customHeight="1" x14ac:dyDescent="0.2">
      <c r="A24" s="30" t="s">
        <v>21</v>
      </c>
      <c r="B24" s="142">
        <v>40</v>
      </c>
      <c r="C24" s="139">
        <v>64</v>
      </c>
      <c r="D24" s="139">
        <v>54</v>
      </c>
      <c r="E24" s="155">
        <f>SUM(B24:D24)</f>
        <v>158</v>
      </c>
      <c r="F24" s="139">
        <v>21240</v>
      </c>
      <c r="G24" s="139">
        <v>25800</v>
      </c>
      <c r="H24" s="147">
        <v>0</v>
      </c>
      <c r="I24" s="139">
        <v>3950</v>
      </c>
      <c r="J24" s="139">
        <v>0</v>
      </c>
      <c r="K24" s="139">
        <v>8120</v>
      </c>
      <c r="L24" s="139">
        <v>0</v>
      </c>
      <c r="M24" s="163">
        <f>SUM(F24:L24)</f>
        <v>59110</v>
      </c>
      <c r="N24" s="139">
        <v>1</v>
      </c>
      <c r="O24" s="143">
        <v>1</v>
      </c>
      <c r="P24" s="139">
        <v>0</v>
      </c>
      <c r="Q24" s="139">
        <v>0</v>
      </c>
      <c r="R24" s="185">
        <v>0</v>
      </c>
      <c r="S24" s="137">
        <v>0</v>
      </c>
      <c r="T24" s="183">
        <v>0</v>
      </c>
      <c r="U24" s="138">
        <v>0</v>
      </c>
      <c r="V24" s="192">
        <f t="shared" si="0"/>
        <v>0</v>
      </c>
      <c r="W24" s="139">
        <v>0</v>
      </c>
      <c r="X24" s="139">
        <v>0</v>
      </c>
      <c r="Y24" s="139">
        <v>0</v>
      </c>
      <c r="Z24" s="185">
        <v>0</v>
      </c>
      <c r="AA24" s="192" t="str">
        <f t="shared" si="1"/>
        <v>-</v>
      </c>
      <c r="AB24" s="142">
        <v>0</v>
      </c>
      <c r="AC24" s="139">
        <v>0</v>
      </c>
      <c r="AD24" s="139">
        <v>0</v>
      </c>
      <c r="AE24" s="123">
        <f t="shared" si="2"/>
        <v>0</v>
      </c>
    </row>
    <row r="25" spans="1:31" s="1" customFormat="1" ht="15" customHeight="1" x14ac:dyDescent="0.2">
      <c r="A25" s="30" t="s">
        <v>109</v>
      </c>
      <c r="B25" s="142">
        <v>9</v>
      </c>
      <c r="C25" s="139">
        <v>8</v>
      </c>
      <c r="D25" s="139">
        <v>10</v>
      </c>
      <c r="E25" s="155">
        <f>SUM(B25:D25)</f>
        <v>27</v>
      </c>
      <c r="F25" s="139">
        <v>2400</v>
      </c>
      <c r="G25" s="139">
        <v>9550</v>
      </c>
      <c r="H25" s="147">
        <v>0</v>
      </c>
      <c r="I25" s="139">
        <v>0</v>
      </c>
      <c r="J25" s="139">
        <v>0</v>
      </c>
      <c r="K25" s="139">
        <v>0</v>
      </c>
      <c r="L25" s="139">
        <v>0</v>
      </c>
      <c r="M25" s="163">
        <f>SUM(F25:L25)</f>
        <v>11950</v>
      </c>
      <c r="N25" s="139">
        <v>0</v>
      </c>
      <c r="O25" s="143">
        <v>0</v>
      </c>
      <c r="P25" s="139">
        <v>0</v>
      </c>
      <c r="Q25" s="139">
        <v>0</v>
      </c>
      <c r="R25" s="185">
        <v>0</v>
      </c>
      <c r="S25" s="137">
        <v>0</v>
      </c>
      <c r="T25" s="183">
        <v>0</v>
      </c>
      <c r="U25" s="138">
        <v>0</v>
      </c>
      <c r="V25" s="192">
        <f t="shared" si="0"/>
        <v>0</v>
      </c>
      <c r="W25" s="139">
        <v>0</v>
      </c>
      <c r="X25" s="139">
        <v>0</v>
      </c>
      <c r="Y25" s="139">
        <v>0</v>
      </c>
      <c r="Z25" s="185">
        <v>0</v>
      </c>
      <c r="AA25" s="192" t="str">
        <f t="shared" si="1"/>
        <v>-</v>
      </c>
      <c r="AB25" s="142">
        <v>0</v>
      </c>
      <c r="AC25" s="139">
        <v>0</v>
      </c>
      <c r="AD25" s="139">
        <v>0</v>
      </c>
      <c r="AE25" s="123">
        <f t="shared" si="2"/>
        <v>0</v>
      </c>
    </row>
    <row r="26" spans="1:31" s="1" customFormat="1" ht="15" customHeight="1" x14ac:dyDescent="0.2">
      <c r="A26" s="236"/>
      <c r="B26" s="160">
        <f t="shared" ref="B26:U26" si="6">SUM(B22:B25)</f>
        <v>70</v>
      </c>
      <c r="C26" s="157">
        <f t="shared" si="6"/>
        <v>107</v>
      </c>
      <c r="D26" s="157">
        <f t="shared" si="6"/>
        <v>114</v>
      </c>
      <c r="E26" s="157">
        <f t="shared" si="6"/>
        <v>291</v>
      </c>
      <c r="F26" s="157">
        <f t="shared" si="6"/>
        <v>32210</v>
      </c>
      <c r="G26" s="157">
        <f t="shared" si="6"/>
        <v>56350</v>
      </c>
      <c r="H26" s="157">
        <f t="shared" si="6"/>
        <v>0</v>
      </c>
      <c r="I26" s="157">
        <f t="shared" si="6"/>
        <v>6700</v>
      </c>
      <c r="J26" s="157">
        <f t="shared" si="6"/>
        <v>0</v>
      </c>
      <c r="K26" s="157">
        <f t="shared" si="6"/>
        <v>11120</v>
      </c>
      <c r="L26" s="157">
        <f t="shared" si="6"/>
        <v>0</v>
      </c>
      <c r="M26" s="157">
        <f t="shared" si="6"/>
        <v>106380</v>
      </c>
      <c r="N26" s="157">
        <f t="shared" si="6"/>
        <v>1</v>
      </c>
      <c r="O26" s="162">
        <f t="shared" si="6"/>
        <v>1</v>
      </c>
      <c r="P26" s="157">
        <f t="shared" si="6"/>
        <v>0</v>
      </c>
      <c r="Q26" s="157">
        <f t="shared" si="6"/>
        <v>0</v>
      </c>
      <c r="R26" s="159">
        <f t="shared" si="6"/>
        <v>0</v>
      </c>
      <c r="S26" s="160">
        <f t="shared" si="6"/>
        <v>0</v>
      </c>
      <c r="T26" s="159">
        <f t="shared" si="6"/>
        <v>0</v>
      </c>
      <c r="U26" s="157">
        <f t="shared" si="6"/>
        <v>0</v>
      </c>
      <c r="V26" s="161">
        <f>IF(SUM(V22:V25)&gt;0,AVERAGEIF(V22:V25,"&lt;&gt;0"),0)</f>
        <v>0</v>
      </c>
      <c r="W26" s="157">
        <f>SUM(W22:W25)</f>
        <v>0</v>
      </c>
      <c r="X26" s="157">
        <f>SUM(X22:X25)</f>
        <v>0</v>
      </c>
      <c r="Y26" s="157">
        <f>SUM(Y22:Y25)</f>
        <v>0</v>
      </c>
      <c r="Z26" s="159">
        <f>SUM(Z22:Z25)</f>
        <v>0</v>
      </c>
      <c r="AA26" s="161">
        <f>IF(SUM(AA22:AA25),AVERAGEIF(AA22:AA25,"&lt;&gt;0"),0)</f>
        <v>0</v>
      </c>
      <c r="AB26" s="160">
        <f>SUM(AB22:AB25)</f>
        <v>0</v>
      </c>
      <c r="AC26" s="157">
        <f>SUM(AC22:AC25)</f>
        <v>0</v>
      </c>
      <c r="AD26" s="157">
        <f>SUM(AD22:AD25)</f>
        <v>0</v>
      </c>
      <c r="AE26" s="162">
        <f>SUM(AE22:AE25)</f>
        <v>0</v>
      </c>
    </row>
    <row r="27" spans="1:31" s="1" customFormat="1" ht="15" customHeight="1" x14ac:dyDescent="0.2">
      <c r="A27" s="30" t="s">
        <v>108</v>
      </c>
      <c r="B27" s="137">
        <v>32</v>
      </c>
      <c r="C27" s="138">
        <v>32</v>
      </c>
      <c r="D27" s="138">
        <v>50</v>
      </c>
      <c r="E27" s="155">
        <f t="shared" ref="E27:E35" si="7">SUM(B27:D27)</f>
        <v>114</v>
      </c>
      <c r="F27" s="139">
        <v>7550</v>
      </c>
      <c r="G27" s="139">
        <v>5750</v>
      </c>
      <c r="H27" s="147">
        <v>0</v>
      </c>
      <c r="I27" s="139">
        <v>1380</v>
      </c>
      <c r="J27" s="139">
        <v>0</v>
      </c>
      <c r="K27" s="139">
        <v>0</v>
      </c>
      <c r="L27" s="139">
        <v>0</v>
      </c>
      <c r="M27" s="163">
        <f t="shared" ref="M27:M35" si="8">SUM(F27:L27)</f>
        <v>14680</v>
      </c>
      <c r="N27" s="138">
        <v>3</v>
      </c>
      <c r="O27" s="140">
        <v>5</v>
      </c>
      <c r="P27" s="138">
        <v>0</v>
      </c>
      <c r="Q27" s="138">
        <v>0</v>
      </c>
      <c r="R27" s="183">
        <v>0</v>
      </c>
      <c r="S27" s="137">
        <v>0</v>
      </c>
      <c r="T27" s="183">
        <v>0</v>
      </c>
      <c r="U27" s="138">
        <v>0</v>
      </c>
      <c r="V27" s="192">
        <f t="shared" si="0"/>
        <v>0</v>
      </c>
      <c r="W27" s="138">
        <v>0</v>
      </c>
      <c r="X27" s="138">
        <v>0</v>
      </c>
      <c r="Y27" s="138">
        <v>0</v>
      </c>
      <c r="Z27" s="183">
        <v>0</v>
      </c>
      <c r="AA27" s="192" t="str">
        <f t="shared" si="1"/>
        <v>-</v>
      </c>
      <c r="AB27" s="142">
        <v>0</v>
      </c>
      <c r="AC27" s="139">
        <v>0</v>
      </c>
      <c r="AD27" s="139">
        <v>0</v>
      </c>
      <c r="AE27" s="123">
        <f t="shared" si="2"/>
        <v>0</v>
      </c>
    </row>
    <row r="28" spans="1:31" s="1" customFormat="1" ht="15" customHeight="1" x14ac:dyDescent="0.2">
      <c r="A28" s="30" t="s">
        <v>22</v>
      </c>
      <c r="B28" s="146">
        <v>4</v>
      </c>
      <c r="C28" s="147">
        <v>12</v>
      </c>
      <c r="D28" s="147">
        <v>19</v>
      </c>
      <c r="E28" s="155">
        <f t="shared" si="7"/>
        <v>35</v>
      </c>
      <c r="F28" s="147">
        <v>1060</v>
      </c>
      <c r="G28" s="147">
        <v>2880</v>
      </c>
      <c r="H28" s="147">
        <v>0</v>
      </c>
      <c r="I28" s="147">
        <v>0</v>
      </c>
      <c r="J28" s="147">
        <v>0</v>
      </c>
      <c r="K28" s="147">
        <v>0</v>
      </c>
      <c r="L28" s="147">
        <v>0</v>
      </c>
      <c r="M28" s="163">
        <f t="shared" si="8"/>
        <v>3940</v>
      </c>
      <c r="N28" s="147">
        <v>0</v>
      </c>
      <c r="O28" s="149">
        <v>0</v>
      </c>
      <c r="P28" s="147">
        <v>0</v>
      </c>
      <c r="Q28" s="147">
        <v>0</v>
      </c>
      <c r="R28" s="184">
        <v>0</v>
      </c>
      <c r="S28" s="137">
        <v>0</v>
      </c>
      <c r="T28" s="183">
        <v>0</v>
      </c>
      <c r="U28" s="138">
        <v>0</v>
      </c>
      <c r="V28" s="192">
        <f t="shared" si="0"/>
        <v>0</v>
      </c>
      <c r="W28" s="147">
        <v>0</v>
      </c>
      <c r="X28" s="147">
        <v>0</v>
      </c>
      <c r="Y28" s="147">
        <v>0</v>
      </c>
      <c r="Z28" s="184">
        <v>0</v>
      </c>
      <c r="AA28" s="192" t="str">
        <f t="shared" si="1"/>
        <v>-</v>
      </c>
      <c r="AB28" s="146">
        <v>0</v>
      </c>
      <c r="AC28" s="147">
        <v>0</v>
      </c>
      <c r="AD28" s="147">
        <v>0</v>
      </c>
      <c r="AE28" s="123">
        <f t="shared" si="2"/>
        <v>0</v>
      </c>
    </row>
    <row r="29" spans="1:31" s="1" customFormat="1" ht="15" customHeight="1" x14ac:dyDescent="0.2">
      <c r="A29" s="30" t="s">
        <v>23</v>
      </c>
      <c r="B29" s="146">
        <v>32</v>
      </c>
      <c r="C29" s="147">
        <v>47</v>
      </c>
      <c r="D29" s="147">
        <v>38</v>
      </c>
      <c r="E29" s="155">
        <f t="shared" si="7"/>
        <v>117</v>
      </c>
      <c r="F29" s="147">
        <v>8910</v>
      </c>
      <c r="G29" s="147">
        <v>8400</v>
      </c>
      <c r="H29" s="147">
        <v>0</v>
      </c>
      <c r="I29" s="147">
        <v>2200</v>
      </c>
      <c r="J29" s="147">
        <v>0</v>
      </c>
      <c r="K29" s="147">
        <v>0</v>
      </c>
      <c r="L29" s="147">
        <v>0</v>
      </c>
      <c r="M29" s="163">
        <f t="shared" si="8"/>
        <v>19510</v>
      </c>
      <c r="N29" s="147">
        <v>0</v>
      </c>
      <c r="O29" s="149">
        <v>1</v>
      </c>
      <c r="P29" s="147">
        <v>0</v>
      </c>
      <c r="Q29" s="147">
        <v>0</v>
      </c>
      <c r="R29" s="184">
        <v>0</v>
      </c>
      <c r="S29" s="137">
        <v>0</v>
      </c>
      <c r="T29" s="183">
        <v>0</v>
      </c>
      <c r="U29" s="138">
        <v>0</v>
      </c>
      <c r="V29" s="192">
        <f t="shared" si="0"/>
        <v>0</v>
      </c>
      <c r="W29" s="147">
        <v>0</v>
      </c>
      <c r="X29" s="147">
        <v>0</v>
      </c>
      <c r="Y29" s="147">
        <v>0</v>
      </c>
      <c r="Z29" s="184">
        <v>0</v>
      </c>
      <c r="AA29" s="192" t="str">
        <f t="shared" si="1"/>
        <v>-</v>
      </c>
      <c r="AB29" s="146">
        <v>0</v>
      </c>
      <c r="AC29" s="147">
        <v>0</v>
      </c>
      <c r="AD29" s="147">
        <v>0</v>
      </c>
      <c r="AE29" s="123">
        <f t="shared" si="2"/>
        <v>0</v>
      </c>
    </row>
    <row r="30" spans="1:31" s="1" customFormat="1" ht="15" customHeight="1" x14ac:dyDescent="0.2">
      <c r="A30" s="30" t="s">
        <v>24</v>
      </c>
      <c r="B30" s="146">
        <v>15</v>
      </c>
      <c r="C30" s="147">
        <v>37</v>
      </c>
      <c r="D30" s="147">
        <v>57</v>
      </c>
      <c r="E30" s="155">
        <f t="shared" si="7"/>
        <v>109</v>
      </c>
      <c r="F30" s="150">
        <v>0</v>
      </c>
      <c r="G30" s="150">
        <v>0</v>
      </c>
      <c r="H30" s="147">
        <v>0</v>
      </c>
      <c r="I30" s="150">
        <v>0</v>
      </c>
      <c r="J30" s="150">
        <v>0</v>
      </c>
      <c r="K30" s="150">
        <v>0</v>
      </c>
      <c r="L30" s="150">
        <v>0</v>
      </c>
      <c r="M30" s="163">
        <f t="shared" si="8"/>
        <v>0</v>
      </c>
      <c r="N30" s="147">
        <v>0</v>
      </c>
      <c r="O30" s="149">
        <v>0</v>
      </c>
      <c r="P30" s="147">
        <v>0</v>
      </c>
      <c r="Q30" s="147">
        <v>0</v>
      </c>
      <c r="R30" s="184">
        <v>0</v>
      </c>
      <c r="S30" s="137">
        <v>0</v>
      </c>
      <c r="T30" s="183">
        <v>0</v>
      </c>
      <c r="U30" s="138">
        <v>0</v>
      </c>
      <c r="V30" s="192">
        <f t="shared" si="0"/>
        <v>0</v>
      </c>
      <c r="W30" s="147">
        <v>0</v>
      </c>
      <c r="X30" s="147">
        <v>0</v>
      </c>
      <c r="Y30" s="147">
        <v>0</v>
      </c>
      <c r="Z30" s="184">
        <v>0</v>
      </c>
      <c r="AA30" s="192" t="str">
        <f t="shared" si="1"/>
        <v>-</v>
      </c>
      <c r="AB30" s="125">
        <v>0</v>
      </c>
      <c r="AC30" s="150">
        <v>0</v>
      </c>
      <c r="AD30" s="150">
        <v>0</v>
      </c>
      <c r="AE30" s="123">
        <f t="shared" si="2"/>
        <v>0</v>
      </c>
    </row>
    <row r="31" spans="1:31" s="1" customFormat="1" ht="14.25" customHeight="1" x14ac:dyDescent="0.2">
      <c r="A31" s="30" t="s">
        <v>106</v>
      </c>
      <c r="B31" s="146">
        <v>8</v>
      </c>
      <c r="C31" s="147">
        <v>11</v>
      </c>
      <c r="D31" s="147">
        <v>25</v>
      </c>
      <c r="E31" s="155">
        <f t="shared" si="7"/>
        <v>44</v>
      </c>
      <c r="F31" s="147">
        <v>0</v>
      </c>
      <c r="G31" s="147">
        <v>0</v>
      </c>
      <c r="H31" s="147">
        <v>0</v>
      </c>
      <c r="I31" s="147">
        <v>450</v>
      </c>
      <c r="J31" s="147">
        <v>0</v>
      </c>
      <c r="K31" s="147">
        <v>610</v>
      </c>
      <c r="L31" s="147">
        <v>0</v>
      </c>
      <c r="M31" s="163">
        <f t="shared" si="8"/>
        <v>1060</v>
      </c>
      <c r="N31" s="147">
        <v>0</v>
      </c>
      <c r="O31" s="149">
        <v>0</v>
      </c>
      <c r="P31" s="147">
        <v>0</v>
      </c>
      <c r="Q31" s="147">
        <v>0</v>
      </c>
      <c r="R31" s="184">
        <v>0</v>
      </c>
      <c r="S31" s="137">
        <v>0</v>
      </c>
      <c r="T31" s="183">
        <v>0</v>
      </c>
      <c r="U31" s="138">
        <v>0</v>
      </c>
      <c r="V31" s="192">
        <f t="shared" si="0"/>
        <v>0</v>
      </c>
      <c r="W31" s="147">
        <v>0</v>
      </c>
      <c r="X31" s="147">
        <v>0</v>
      </c>
      <c r="Y31" s="147">
        <v>0</v>
      </c>
      <c r="Z31" s="184">
        <v>0</v>
      </c>
      <c r="AA31" s="192" t="str">
        <f t="shared" si="1"/>
        <v>-</v>
      </c>
      <c r="AB31" s="146">
        <v>0</v>
      </c>
      <c r="AC31" s="147">
        <v>0</v>
      </c>
      <c r="AD31" s="147">
        <v>0</v>
      </c>
      <c r="AE31" s="123">
        <f t="shared" si="2"/>
        <v>0</v>
      </c>
    </row>
    <row r="32" spans="1:31" s="1" customFormat="1" ht="14.25" customHeight="1" x14ac:dyDescent="0.2">
      <c r="A32" s="30" t="s">
        <v>25</v>
      </c>
      <c r="B32" s="146">
        <v>8</v>
      </c>
      <c r="C32" s="147">
        <v>15</v>
      </c>
      <c r="D32" s="147">
        <v>44</v>
      </c>
      <c r="E32" s="155">
        <f t="shared" si="7"/>
        <v>67</v>
      </c>
      <c r="F32" s="147">
        <v>3770</v>
      </c>
      <c r="G32" s="147">
        <v>10350</v>
      </c>
      <c r="H32" s="147">
        <v>0</v>
      </c>
      <c r="I32" s="147">
        <v>0</v>
      </c>
      <c r="J32" s="147">
        <v>0</v>
      </c>
      <c r="K32" s="147">
        <v>0</v>
      </c>
      <c r="L32" s="147">
        <v>0</v>
      </c>
      <c r="M32" s="163">
        <f t="shared" si="8"/>
        <v>14120</v>
      </c>
      <c r="N32" s="147">
        <v>6</v>
      </c>
      <c r="O32" s="149">
        <v>0</v>
      </c>
      <c r="P32" s="147">
        <v>0</v>
      </c>
      <c r="Q32" s="147">
        <v>0</v>
      </c>
      <c r="R32" s="184">
        <v>0</v>
      </c>
      <c r="S32" s="137">
        <v>0</v>
      </c>
      <c r="T32" s="183">
        <v>0</v>
      </c>
      <c r="U32" s="138">
        <v>0</v>
      </c>
      <c r="V32" s="192">
        <f t="shared" si="0"/>
        <v>0</v>
      </c>
      <c r="W32" s="147">
        <v>0</v>
      </c>
      <c r="X32" s="147">
        <v>0</v>
      </c>
      <c r="Y32" s="147">
        <v>0</v>
      </c>
      <c r="Z32" s="184">
        <v>0</v>
      </c>
      <c r="AA32" s="192" t="str">
        <f t="shared" si="1"/>
        <v>-</v>
      </c>
      <c r="AB32" s="146">
        <v>0</v>
      </c>
      <c r="AC32" s="147">
        <v>0</v>
      </c>
      <c r="AD32" s="147">
        <v>0</v>
      </c>
      <c r="AE32" s="123">
        <f t="shared" si="2"/>
        <v>0</v>
      </c>
    </row>
    <row r="33" spans="1:31" s="1" customFormat="1" ht="14.25" customHeight="1" x14ac:dyDescent="0.2">
      <c r="A33" s="30" t="s">
        <v>26</v>
      </c>
      <c r="B33" s="146">
        <v>23</v>
      </c>
      <c r="C33" s="147">
        <v>31</v>
      </c>
      <c r="D33" s="147">
        <v>29</v>
      </c>
      <c r="E33" s="155">
        <f t="shared" si="7"/>
        <v>83</v>
      </c>
      <c r="F33" s="147">
        <v>10070</v>
      </c>
      <c r="G33" s="147">
        <v>4000</v>
      </c>
      <c r="H33" s="147">
        <v>0</v>
      </c>
      <c r="I33" s="147">
        <v>0</v>
      </c>
      <c r="J33" s="147">
        <v>0</v>
      </c>
      <c r="K33" s="147">
        <v>0</v>
      </c>
      <c r="L33" s="147">
        <v>0</v>
      </c>
      <c r="M33" s="163">
        <f t="shared" si="8"/>
        <v>14070</v>
      </c>
      <c r="N33" s="147">
        <v>4</v>
      </c>
      <c r="O33" s="149">
        <v>2</v>
      </c>
      <c r="P33" s="147">
        <v>0</v>
      </c>
      <c r="Q33" s="147">
        <v>0</v>
      </c>
      <c r="R33" s="184">
        <v>0</v>
      </c>
      <c r="S33" s="137">
        <v>0</v>
      </c>
      <c r="T33" s="183">
        <v>0</v>
      </c>
      <c r="U33" s="138">
        <v>0</v>
      </c>
      <c r="V33" s="192">
        <f t="shared" si="0"/>
        <v>0</v>
      </c>
      <c r="W33" s="147">
        <v>0</v>
      </c>
      <c r="X33" s="147">
        <v>0</v>
      </c>
      <c r="Y33" s="147">
        <v>0</v>
      </c>
      <c r="Z33" s="184">
        <v>0</v>
      </c>
      <c r="AA33" s="192" t="str">
        <f t="shared" si="1"/>
        <v>-</v>
      </c>
      <c r="AB33" s="146">
        <v>0</v>
      </c>
      <c r="AC33" s="147">
        <v>0</v>
      </c>
      <c r="AD33" s="147">
        <v>0</v>
      </c>
      <c r="AE33" s="123">
        <f t="shared" si="2"/>
        <v>0</v>
      </c>
    </row>
    <row r="34" spans="1:31" s="1" customFormat="1" ht="14.25" customHeight="1" x14ac:dyDescent="0.2">
      <c r="A34" s="30" t="s">
        <v>58</v>
      </c>
      <c r="B34" s="137">
        <v>11</v>
      </c>
      <c r="C34" s="138">
        <v>12</v>
      </c>
      <c r="D34" s="138">
        <v>16</v>
      </c>
      <c r="E34" s="155">
        <f t="shared" si="7"/>
        <v>39</v>
      </c>
      <c r="F34" s="138">
        <v>6660</v>
      </c>
      <c r="G34" s="138">
        <v>1300</v>
      </c>
      <c r="H34" s="147">
        <v>0</v>
      </c>
      <c r="I34" s="138">
        <v>0</v>
      </c>
      <c r="J34" s="138">
        <v>0</v>
      </c>
      <c r="K34" s="138">
        <v>0</v>
      </c>
      <c r="L34" s="138">
        <v>0</v>
      </c>
      <c r="M34" s="163">
        <f t="shared" si="8"/>
        <v>7960</v>
      </c>
      <c r="N34" s="138">
        <v>7</v>
      </c>
      <c r="O34" s="140">
        <v>0</v>
      </c>
      <c r="P34" s="138">
        <v>0</v>
      </c>
      <c r="Q34" s="138">
        <v>0</v>
      </c>
      <c r="R34" s="183">
        <v>0</v>
      </c>
      <c r="S34" s="137">
        <v>0</v>
      </c>
      <c r="T34" s="183">
        <v>0</v>
      </c>
      <c r="U34" s="138">
        <v>0</v>
      </c>
      <c r="V34" s="192">
        <f t="shared" si="0"/>
        <v>0</v>
      </c>
      <c r="W34" s="138">
        <v>0</v>
      </c>
      <c r="X34" s="138">
        <v>0</v>
      </c>
      <c r="Y34" s="138">
        <v>0</v>
      </c>
      <c r="Z34" s="183">
        <v>0</v>
      </c>
      <c r="AA34" s="192" t="str">
        <f t="shared" si="1"/>
        <v>-</v>
      </c>
      <c r="AB34" s="137">
        <v>0</v>
      </c>
      <c r="AC34" s="138">
        <v>0</v>
      </c>
      <c r="AD34" s="138">
        <v>0</v>
      </c>
      <c r="AE34" s="123">
        <f t="shared" si="2"/>
        <v>0</v>
      </c>
    </row>
    <row r="35" spans="1:31" s="1" customFormat="1" ht="14.25" customHeight="1" x14ac:dyDescent="0.2">
      <c r="A35" s="30" t="s">
        <v>36</v>
      </c>
      <c r="B35" s="137">
        <v>4</v>
      </c>
      <c r="C35" s="138">
        <v>6</v>
      </c>
      <c r="D35" s="138">
        <v>8</v>
      </c>
      <c r="E35" s="155">
        <f t="shared" si="7"/>
        <v>18</v>
      </c>
      <c r="F35" s="138">
        <v>1400</v>
      </c>
      <c r="G35" s="138">
        <v>1500</v>
      </c>
      <c r="H35" s="147">
        <v>0</v>
      </c>
      <c r="I35" s="138">
        <v>0</v>
      </c>
      <c r="J35" s="138">
        <v>0</v>
      </c>
      <c r="K35" s="138">
        <v>0</v>
      </c>
      <c r="L35" s="138">
        <v>0</v>
      </c>
      <c r="M35" s="163">
        <f t="shared" si="8"/>
        <v>2900</v>
      </c>
      <c r="N35" s="138">
        <v>0</v>
      </c>
      <c r="O35" s="140">
        <v>0</v>
      </c>
      <c r="P35" s="138">
        <v>0</v>
      </c>
      <c r="Q35" s="138">
        <v>0</v>
      </c>
      <c r="R35" s="183">
        <v>0</v>
      </c>
      <c r="S35" s="137">
        <v>0</v>
      </c>
      <c r="T35" s="183">
        <v>0</v>
      </c>
      <c r="U35" s="138">
        <v>0</v>
      </c>
      <c r="V35" s="192">
        <f t="shared" si="0"/>
        <v>0</v>
      </c>
      <c r="W35" s="138">
        <v>0</v>
      </c>
      <c r="X35" s="138">
        <v>0</v>
      </c>
      <c r="Y35" s="138">
        <v>0</v>
      </c>
      <c r="Z35" s="183">
        <v>0</v>
      </c>
      <c r="AA35" s="192" t="str">
        <f t="shared" si="1"/>
        <v>-</v>
      </c>
      <c r="AB35" s="137">
        <v>0</v>
      </c>
      <c r="AC35" s="138">
        <v>0</v>
      </c>
      <c r="AD35" s="138">
        <v>0</v>
      </c>
      <c r="AE35" s="123">
        <f t="shared" si="2"/>
        <v>0</v>
      </c>
    </row>
    <row r="36" spans="1:31" s="1" customFormat="1" ht="14.25" customHeight="1" x14ac:dyDescent="0.2">
      <c r="A36" s="236"/>
      <c r="B36" s="166">
        <f t="shared" ref="B36:U36" si="9">SUM(B27:B35)</f>
        <v>137</v>
      </c>
      <c r="C36" s="155">
        <f t="shared" si="9"/>
        <v>203</v>
      </c>
      <c r="D36" s="155">
        <f t="shared" si="9"/>
        <v>286</v>
      </c>
      <c r="E36" s="155">
        <f t="shared" si="9"/>
        <v>626</v>
      </c>
      <c r="F36" s="155">
        <f t="shared" si="9"/>
        <v>39420</v>
      </c>
      <c r="G36" s="155">
        <f t="shared" si="9"/>
        <v>34180</v>
      </c>
      <c r="H36" s="155">
        <f t="shared" si="9"/>
        <v>0</v>
      </c>
      <c r="I36" s="155">
        <f t="shared" si="9"/>
        <v>4030</v>
      </c>
      <c r="J36" s="155">
        <f t="shared" ref="J36" si="10">SUM(J27:J35)</f>
        <v>0</v>
      </c>
      <c r="K36" s="155">
        <f t="shared" si="9"/>
        <v>610</v>
      </c>
      <c r="L36" s="155">
        <f t="shared" si="9"/>
        <v>0</v>
      </c>
      <c r="M36" s="155">
        <f t="shared" si="9"/>
        <v>78240</v>
      </c>
      <c r="N36" s="155">
        <f t="shared" si="9"/>
        <v>20</v>
      </c>
      <c r="O36" s="167">
        <f t="shared" si="9"/>
        <v>8</v>
      </c>
      <c r="P36" s="155">
        <f t="shared" si="9"/>
        <v>0</v>
      </c>
      <c r="Q36" s="155">
        <f t="shared" si="9"/>
        <v>0</v>
      </c>
      <c r="R36" s="186">
        <f t="shared" si="9"/>
        <v>0</v>
      </c>
      <c r="S36" s="166">
        <f t="shared" si="9"/>
        <v>0</v>
      </c>
      <c r="T36" s="186">
        <f t="shared" si="9"/>
        <v>0</v>
      </c>
      <c r="U36" s="155">
        <f t="shared" si="9"/>
        <v>0</v>
      </c>
      <c r="V36" s="161">
        <f>IF(SUM(V27:V35)&gt;0,AVERAGEIF(V27:V35,"&lt;&gt;0"),0)</f>
        <v>0</v>
      </c>
      <c r="W36" s="155">
        <f>SUM(W27:W35)</f>
        <v>0</v>
      </c>
      <c r="X36" s="155">
        <f>SUM(X27:X35)</f>
        <v>0</v>
      </c>
      <c r="Y36" s="155">
        <f>SUM(Y27:Y35)</f>
        <v>0</v>
      </c>
      <c r="Z36" s="186">
        <f>SUM(Z27:Z35)</f>
        <v>0</v>
      </c>
      <c r="AA36" s="161">
        <f>IF(SUM(AA27:AA35),AVERAGEIF(AA27:AA35,"&lt;&gt;0"),0)</f>
        <v>0</v>
      </c>
      <c r="AB36" s="166">
        <f>SUM(AB27:AB35)</f>
        <v>0</v>
      </c>
      <c r="AC36" s="155">
        <f>SUM(AC27:AC35)</f>
        <v>0</v>
      </c>
      <c r="AD36" s="155">
        <f>SUM(AD27:AD35)</f>
        <v>0</v>
      </c>
      <c r="AE36" s="167">
        <f>SUM(AE27:AE35)</f>
        <v>0</v>
      </c>
    </row>
    <row r="37" spans="1:31" s="1" customFormat="1" ht="14.25" customHeight="1" x14ac:dyDescent="0.2">
      <c r="A37" s="30" t="s">
        <v>27</v>
      </c>
      <c r="B37" s="137">
        <v>45</v>
      </c>
      <c r="C37" s="138">
        <v>80</v>
      </c>
      <c r="D37" s="138">
        <v>83</v>
      </c>
      <c r="E37" s="155">
        <f t="shared" ref="E37:E49" si="11">SUM(B37:D37)</f>
        <v>208</v>
      </c>
      <c r="F37" s="139">
        <f>10270+5950</f>
        <v>16220</v>
      </c>
      <c r="G37" s="139">
        <v>11350</v>
      </c>
      <c r="H37" s="150">
        <v>0</v>
      </c>
      <c r="I37" s="139">
        <v>0</v>
      </c>
      <c r="J37" s="139">
        <v>0</v>
      </c>
      <c r="K37" s="139">
        <v>0</v>
      </c>
      <c r="L37" s="139">
        <v>0</v>
      </c>
      <c r="M37" s="163">
        <f t="shared" ref="M37:M49" si="12">SUM(F37:L37)</f>
        <v>27570</v>
      </c>
      <c r="N37" s="138">
        <v>0</v>
      </c>
      <c r="O37" s="140">
        <v>0</v>
      </c>
      <c r="P37" s="138">
        <v>0</v>
      </c>
      <c r="Q37" s="138">
        <v>0</v>
      </c>
      <c r="R37" s="183">
        <v>0</v>
      </c>
      <c r="S37" s="137">
        <v>0</v>
      </c>
      <c r="T37" s="183">
        <v>0</v>
      </c>
      <c r="U37" s="138">
        <v>0</v>
      </c>
      <c r="V37" s="192">
        <f t="shared" si="0"/>
        <v>0</v>
      </c>
      <c r="W37" s="138">
        <v>0</v>
      </c>
      <c r="X37" s="138">
        <v>0</v>
      </c>
      <c r="Y37" s="138">
        <v>0</v>
      </c>
      <c r="Z37" s="183">
        <v>0</v>
      </c>
      <c r="AA37" s="192" t="str">
        <f t="shared" si="1"/>
        <v>-</v>
      </c>
      <c r="AB37" s="142">
        <v>0</v>
      </c>
      <c r="AC37" s="139">
        <v>0</v>
      </c>
      <c r="AD37" s="139">
        <v>0</v>
      </c>
      <c r="AE37" s="123">
        <f t="shared" si="2"/>
        <v>0</v>
      </c>
    </row>
    <row r="38" spans="1:31" s="1" customFormat="1" ht="14.25" customHeight="1" x14ac:dyDescent="0.2">
      <c r="A38" s="30" t="s">
        <v>28</v>
      </c>
      <c r="B38" s="144">
        <v>4</v>
      </c>
      <c r="C38" s="145">
        <v>3</v>
      </c>
      <c r="D38" s="145">
        <v>6</v>
      </c>
      <c r="E38" s="155">
        <f t="shared" si="11"/>
        <v>13</v>
      </c>
      <c r="F38" s="139">
        <v>1250</v>
      </c>
      <c r="G38" s="139">
        <v>0</v>
      </c>
      <c r="H38" s="150">
        <v>0</v>
      </c>
      <c r="I38" s="138">
        <v>0</v>
      </c>
      <c r="J38" s="138">
        <v>0</v>
      </c>
      <c r="K38" s="138">
        <v>0</v>
      </c>
      <c r="L38" s="138">
        <v>0</v>
      </c>
      <c r="M38" s="163">
        <f t="shared" si="12"/>
        <v>1250</v>
      </c>
      <c r="N38" s="138">
        <v>0</v>
      </c>
      <c r="O38" s="140">
        <v>0</v>
      </c>
      <c r="P38" s="138">
        <v>0</v>
      </c>
      <c r="Q38" s="138">
        <v>0</v>
      </c>
      <c r="R38" s="183">
        <v>0</v>
      </c>
      <c r="S38" s="137">
        <v>0</v>
      </c>
      <c r="T38" s="183">
        <v>0</v>
      </c>
      <c r="U38" s="138">
        <v>0</v>
      </c>
      <c r="V38" s="192">
        <f t="shared" si="0"/>
        <v>0</v>
      </c>
      <c r="W38" s="138">
        <v>0</v>
      </c>
      <c r="X38" s="138">
        <v>0</v>
      </c>
      <c r="Y38" s="138">
        <v>0</v>
      </c>
      <c r="Z38" s="183">
        <v>0</v>
      </c>
      <c r="AA38" s="192" t="str">
        <f t="shared" si="1"/>
        <v>-</v>
      </c>
      <c r="AB38" s="137">
        <v>0</v>
      </c>
      <c r="AC38" s="138">
        <v>0</v>
      </c>
      <c r="AD38" s="138">
        <v>0</v>
      </c>
      <c r="AE38" s="123">
        <f t="shared" si="2"/>
        <v>0</v>
      </c>
    </row>
    <row r="39" spans="1:31" s="1" customFormat="1" ht="14.25" customHeight="1" x14ac:dyDescent="0.2">
      <c r="A39" s="30" t="s">
        <v>62</v>
      </c>
      <c r="B39" s="146">
        <v>0</v>
      </c>
      <c r="C39" s="147">
        <v>0</v>
      </c>
      <c r="D39" s="147">
        <v>0</v>
      </c>
      <c r="E39" s="155">
        <f t="shared" si="11"/>
        <v>0</v>
      </c>
      <c r="F39" s="150">
        <v>0</v>
      </c>
      <c r="G39" s="150">
        <v>0</v>
      </c>
      <c r="H39" s="150">
        <v>0</v>
      </c>
      <c r="I39" s="147">
        <v>0</v>
      </c>
      <c r="J39" s="147">
        <v>0</v>
      </c>
      <c r="K39" s="147">
        <v>0</v>
      </c>
      <c r="L39" s="147">
        <v>0</v>
      </c>
      <c r="M39" s="163">
        <f t="shared" si="12"/>
        <v>0</v>
      </c>
      <c r="N39" s="147">
        <v>0</v>
      </c>
      <c r="O39" s="149">
        <v>0</v>
      </c>
      <c r="P39" s="147">
        <v>0</v>
      </c>
      <c r="Q39" s="147">
        <v>0</v>
      </c>
      <c r="R39" s="184">
        <v>0</v>
      </c>
      <c r="S39" s="137">
        <v>0</v>
      </c>
      <c r="T39" s="183">
        <v>0</v>
      </c>
      <c r="U39" s="138">
        <v>0</v>
      </c>
      <c r="V39" s="192">
        <f t="shared" si="0"/>
        <v>0</v>
      </c>
      <c r="W39" s="147">
        <v>0</v>
      </c>
      <c r="X39" s="147">
        <v>0</v>
      </c>
      <c r="Y39" s="147">
        <v>0</v>
      </c>
      <c r="Z39" s="184">
        <v>0</v>
      </c>
      <c r="AA39" s="192" t="str">
        <f t="shared" si="1"/>
        <v>-</v>
      </c>
      <c r="AB39" s="146">
        <v>0</v>
      </c>
      <c r="AC39" s="147">
        <v>0</v>
      </c>
      <c r="AD39" s="147">
        <v>0</v>
      </c>
      <c r="AE39" s="123">
        <f t="shared" si="2"/>
        <v>0</v>
      </c>
    </row>
    <row r="40" spans="1:31" s="1" customFormat="1" ht="14.25" customHeight="1" x14ac:dyDescent="0.2">
      <c r="A40" s="30" t="s">
        <v>29</v>
      </c>
      <c r="B40" s="146">
        <v>0</v>
      </c>
      <c r="C40" s="147">
        <v>0</v>
      </c>
      <c r="D40" s="147">
        <v>0</v>
      </c>
      <c r="E40" s="155">
        <f t="shared" si="11"/>
        <v>0</v>
      </c>
      <c r="F40" s="150">
        <v>0</v>
      </c>
      <c r="G40" s="150">
        <v>0</v>
      </c>
      <c r="H40" s="150">
        <v>0</v>
      </c>
      <c r="I40" s="147">
        <v>0</v>
      </c>
      <c r="J40" s="147">
        <v>0</v>
      </c>
      <c r="K40" s="147">
        <v>0</v>
      </c>
      <c r="L40" s="147">
        <v>0</v>
      </c>
      <c r="M40" s="163">
        <f t="shared" si="12"/>
        <v>0</v>
      </c>
      <c r="N40" s="147">
        <v>0</v>
      </c>
      <c r="O40" s="149">
        <v>0</v>
      </c>
      <c r="P40" s="147">
        <v>0</v>
      </c>
      <c r="Q40" s="147">
        <v>0</v>
      </c>
      <c r="R40" s="184">
        <v>0</v>
      </c>
      <c r="S40" s="137">
        <v>0</v>
      </c>
      <c r="T40" s="183">
        <v>0</v>
      </c>
      <c r="U40" s="138">
        <v>0</v>
      </c>
      <c r="V40" s="192">
        <f t="shared" si="0"/>
        <v>0</v>
      </c>
      <c r="W40" s="147">
        <v>0</v>
      </c>
      <c r="X40" s="147">
        <v>0</v>
      </c>
      <c r="Y40" s="147">
        <v>0</v>
      </c>
      <c r="Z40" s="184">
        <v>0</v>
      </c>
      <c r="AA40" s="192" t="str">
        <f t="shared" si="1"/>
        <v>-</v>
      </c>
      <c r="AB40" s="146">
        <v>0</v>
      </c>
      <c r="AC40" s="147">
        <v>0</v>
      </c>
      <c r="AD40" s="147">
        <v>0</v>
      </c>
      <c r="AE40" s="123">
        <f t="shared" si="2"/>
        <v>0</v>
      </c>
    </row>
    <row r="41" spans="1:31" s="1" customFormat="1" ht="14.25" customHeight="1" x14ac:dyDescent="0.2">
      <c r="A41" s="30" t="s">
        <v>30</v>
      </c>
      <c r="B41" s="146">
        <v>0</v>
      </c>
      <c r="C41" s="147">
        <v>0</v>
      </c>
      <c r="D41" s="147">
        <v>0</v>
      </c>
      <c r="E41" s="155">
        <f t="shared" si="11"/>
        <v>0</v>
      </c>
      <c r="F41" s="150">
        <v>0</v>
      </c>
      <c r="G41" s="150">
        <v>0</v>
      </c>
      <c r="H41" s="150">
        <v>0</v>
      </c>
      <c r="I41" s="147">
        <v>0</v>
      </c>
      <c r="J41" s="147">
        <v>0</v>
      </c>
      <c r="K41" s="147">
        <v>0</v>
      </c>
      <c r="L41" s="147">
        <v>0</v>
      </c>
      <c r="M41" s="163">
        <f t="shared" si="12"/>
        <v>0</v>
      </c>
      <c r="N41" s="147">
        <v>0</v>
      </c>
      <c r="O41" s="149">
        <v>0</v>
      </c>
      <c r="P41" s="147">
        <v>0</v>
      </c>
      <c r="Q41" s="147">
        <v>0</v>
      </c>
      <c r="R41" s="184">
        <v>0</v>
      </c>
      <c r="S41" s="137">
        <v>0</v>
      </c>
      <c r="T41" s="183">
        <v>0</v>
      </c>
      <c r="U41" s="138">
        <v>0</v>
      </c>
      <c r="V41" s="192">
        <f t="shared" si="0"/>
        <v>0</v>
      </c>
      <c r="W41" s="147">
        <v>0</v>
      </c>
      <c r="X41" s="147">
        <v>0</v>
      </c>
      <c r="Y41" s="147">
        <v>0</v>
      </c>
      <c r="Z41" s="184">
        <v>0</v>
      </c>
      <c r="AA41" s="192" t="str">
        <f t="shared" si="1"/>
        <v>-</v>
      </c>
      <c r="AB41" s="146">
        <v>0</v>
      </c>
      <c r="AC41" s="147">
        <v>0</v>
      </c>
      <c r="AD41" s="147">
        <v>0</v>
      </c>
      <c r="AE41" s="123">
        <f t="shared" si="2"/>
        <v>0</v>
      </c>
    </row>
    <row r="42" spans="1:31" s="1" customFormat="1" ht="14.25" customHeight="1" x14ac:dyDescent="0.2">
      <c r="A42" s="30" t="s">
        <v>31</v>
      </c>
      <c r="B42" s="146">
        <v>0</v>
      </c>
      <c r="C42" s="147">
        <v>0</v>
      </c>
      <c r="D42" s="147">
        <v>0</v>
      </c>
      <c r="E42" s="155">
        <f t="shared" si="11"/>
        <v>0</v>
      </c>
      <c r="F42" s="150">
        <v>0</v>
      </c>
      <c r="G42" s="150">
        <v>0</v>
      </c>
      <c r="H42" s="150">
        <v>0</v>
      </c>
      <c r="I42" s="147">
        <v>0</v>
      </c>
      <c r="J42" s="147">
        <v>0</v>
      </c>
      <c r="K42" s="147">
        <v>0</v>
      </c>
      <c r="L42" s="147">
        <v>0</v>
      </c>
      <c r="M42" s="163">
        <f t="shared" si="12"/>
        <v>0</v>
      </c>
      <c r="N42" s="147">
        <v>0</v>
      </c>
      <c r="O42" s="149">
        <v>0</v>
      </c>
      <c r="P42" s="147">
        <v>0</v>
      </c>
      <c r="Q42" s="147">
        <v>0</v>
      </c>
      <c r="R42" s="184">
        <v>0</v>
      </c>
      <c r="S42" s="137">
        <v>0</v>
      </c>
      <c r="T42" s="183">
        <v>0</v>
      </c>
      <c r="U42" s="138">
        <v>0</v>
      </c>
      <c r="V42" s="192">
        <f t="shared" si="0"/>
        <v>0</v>
      </c>
      <c r="W42" s="147">
        <v>0</v>
      </c>
      <c r="X42" s="147">
        <v>0</v>
      </c>
      <c r="Y42" s="147">
        <v>0</v>
      </c>
      <c r="Z42" s="184">
        <v>0</v>
      </c>
      <c r="AA42" s="192" t="str">
        <f t="shared" si="1"/>
        <v>-</v>
      </c>
      <c r="AB42" s="146">
        <v>0</v>
      </c>
      <c r="AC42" s="147">
        <v>0</v>
      </c>
      <c r="AD42" s="147">
        <v>0</v>
      </c>
      <c r="AE42" s="123">
        <f t="shared" si="2"/>
        <v>0</v>
      </c>
    </row>
    <row r="43" spans="1:31" s="1" customFormat="1" ht="14.25" customHeight="1" x14ac:dyDescent="0.2">
      <c r="A43" s="30" t="s">
        <v>44</v>
      </c>
      <c r="B43" s="146">
        <v>0</v>
      </c>
      <c r="C43" s="147">
        <v>0</v>
      </c>
      <c r="D43" s="147">
        <v>0</v>
      </c>
      <c r="E43" s="155">
        <f t="shared" si="11"/>
        <v>0</v>
      </c>
      <c r="F43" s="150">
        <v>0</v>
      </c>
      <c r="G43" s="150">
        <v>0</v>
      </c>
      <c r="H43" s="150">
        <v>0</v>
      </c>
      <c r="I43" s="147">
        <v>0</v>
      </c>
      <c r="J43" s="147">
        <v>0</v>
      </c>
      <c r="K43" s="147">
        <v>0</v>
      </c>
      <c r="L43" s="147">
        <v>0</v>
      </c>
      <c r="M43" s="163">
        <f t="shared" si="12"/>
        <v>0</v>
      </c>
      <c r="N43" s="147">
        <v>0</v>
      </c>
      <c r="O43" s="149">
        <v>0</v>
      </c>
      <c r="P43" s="147">
        <v>0</v>
      </c>
      <c r="Q43" s="147">
        <v>0</v>
      </c>
      <c r="R43" s="184">
        <v>0</v>
      </c>
      <c r="S43" s="137">
        <v>0</v>
      </c>
      <c r="T43" s="183">
        <v>0</v>
      </c>
      <c r="U43" s="138">
        <v>0</v>
      </c>
      <c r="V43" s="192">
        <f t="shared" si="0"/>
        <v>0</v>
      </c>
      <c r="W43" s="147">
        <v>0</v>
      </c>
      <c r="X43" s="147">
        <v>0</v>
      </c>
      <c r="Y43" s="147">
        <v>0</v>
      </c>
      <c r="Z43" s="184">
        <v>0</v>
      </c>
      <c r="AA43" s="192" t="str">
        <f t="shared" si="1"/>
        <v>-</v>
      </c>
      <c r="AB43" s="146">
        <v>0</v>
      </c>
      <c r="AC43" s="147">
        <v>0</v>
      </c>
      <c r="AD43" s="147">
        <v>0</v>
      </c>
      <c r="AE43" s="123">
        <f t="shared" si="2"/>
        <v>0</v>
      </c>
    </row>
    <row r="44" spans="1:31" s="1" customFormat="1" ht="14.25" customHeight="1" x14ac:dyDescent="0.2">
      <c r="A44" s="30" t="s">
        <v>32</v>
      </c>
      <c r="B44" s="146">
        <v>6</v>
      </c>
      <c r="C44" s="147">
        <v>0</v>
      </c>
      <c r="D44" s="147">
        <v>6</v>
      </c>
      <c r="E44" s="155">
        <f t="shared" si="11"/>
        <v>12</v>
      </c>
      <c r="F44" s="150">
        <v>650</v>
      </c>
      <c r="G44" s="150">
        <v>2500</v>
      </c>
      <c r="H44" s="150">
        <v>0</v>
      </c>
      <c r="I44" s="147">
        <v>0</v>
      </c>
      <c r="J44" s="147">
        <v>0</v>
      </c>
      <c r="K44" s="147">
        <v>0</v>
      </c>
      <c r="L44" s="147">
        <v>0</v>
      </c>
      <c r="M44" s="163">
        <f t="shared" si="12"/>
        <v>3150</v>
      </c>
      <c r="N44" s="147">
        <v>0</v>
      </c>
      <c r="O44" s="149">
        <v>0</v>
      </c>
      <c r="P44" s="147">
        <v>0</v>
      </c>
      <c r="Q44" s="147">
        <v>0</v>
      </c>
      <c r="R44" s="184">
        <v>0</v>
      </c>
      <c r="S44" s="137">
        <v>0</v>
      </c>
      <c r="T44" s="183">
        <v>0</v>
      </c>
      <c r="U44" s="138">
        <v>0</v>
      </c>
      <c r="V44" s="192">
        <f t="shared" si="0"/>
        <v>0</v>
      </c>
      <c r="W44" s="147">
        <v>0</v>
      </c>
      <c r="X44" s="147">
        <v>0</v>
      </c>
      <c r="Y44" s="147">
        <v>0</v>
      </c>
      <c r="Z44" s="184">
        <v>0</v>
      </c>
      <c r="AA44" s="192" t="str">
        <f t="shared" si="1"/>
        <v>-</v>
      </c>
      <c r="AB44" s="146">
        <v>0</v>
      </c>
      <c r="AC44" s="147">
        <v>0</v>
      </c>
      <c r="AD44" s="147">
        <v>0</v>
      </c>
      <c r="AE44" s="123">
        <f t="shared" si="2"/>
        <v>0</v>
      </c>
    </row>
    <row r="45" spans="1:31" s="1" customFormat="1" ht="14.25" customHeight="1" x14ac:dyDescent="0.2">
      <c r="A45" s="30" t="s">
        <v>105</v>
      </c>
      <c r="B45" s="146">
        <v>0</v>
      </c>
      <c r="C45" s="147">
        <v>0</v>
      </c>
      <c r="D45" s="147">
        <v>0</v>
      </c>
      <c r="E45" s="155">
        <f t="shared" si="11"/>
        <v>0</v>
      </c>
      <c r="F45" s="150">
        <v>0</v>
      </c>
      <c r="G45" s="150">
        <v>0</v>
      </c>
      <c r="H45" s="150">
        <v>0</v>
      </c>
      <c r="I45" s="147">
        <v>0</v>
      </c>
      <c r="J45" s="147">
        <v>0</v>
      </c>
      <c r="K45" s="147">
        <v>0</v>
      </c>
      <c r="L45" s="147">
        <v>0</v>
      </c>
      <c r="M45" s="163">
        <f t="shared" si="12"/>
        <v>0</v>
      </c>
      <c r="N45" s="147">
        <v>0</v>
      </c>
      <c r="O45" s="149">
        <v>0</v>
      </c>
      <c r="P45" s="147">
        <v>0</v>
      </c>
      <c r="Q45" s="147">
        <v>0</v>
      </c>
      <c r="R45" s="184">
        <v>0</v>
      </c>
      <c r="S45" s="137">
        <v>0</v>
      </c>
      <c r="T45" s="183">
        <v>0</v>
      </c>
      <c r="U45" s="138">
        <v>0</v>
      </c>
      <c r="V45" s="192">
        <f t="shared" si="0"/>
        <v>0</v>
      </c>
      <c r="W45" s="147">
        <v>0</v>
      </c>
      <c r="X45" s="147">
        <v>0</v>
      </c>
      <c r="Y45" s="147">
        <v>0</v>
      </c>
      <c r="Z45" s="184">
        <v>0</v>
      </c>
      <c r="AA45" s="192" t="str">
        <f t="shared" si="1"/>
        <v>-</v>
      </c>
      <c r="AB45" s="146">
        <v>0</v>
      </c>
      <c r="AC45" s="147">
        <v>0</v>
      </c>
      <c r="AD45" s="147">
        <v>0</v>
      </c>
      <c r="AE45" s="123">
        <f t="shared" si="2"/>
        <v>0</v>
      </c>
    </row>
    <row r="46" spans="1:31" s="1" customFormat="1" ht="14.25" customHeight="1" x14ac:dyDescent="0.2">
      <c r="A46" s="30" t="s">
        <v>33</v>
      </c>
      <c r="B46" s="146">
        <v>0</v>
      </c>
      <c r="C46" s="147">
        <v>0</v>
      </c>
      <c r="D46" s="147">
        <v>0</v>
      </c>
      <c r="E46" s="155">
        <f t="shared" si="11"/>
        <v>0</v>
      </c>
      <c r="F46" s="150">
        <v>0</v>
      </c>
      <c r="G46" s="150">
        <v>0</v>
      </c>
      <c r="H46" s="150">
        <v>0</v>
      </c>
      <c r="I46" s="147">
        <v>0</v>
      </c>
      <c r="J46" s="147">
        <v>0</v>
      </c>
      <c r="K46" s="147">
        <v>0</v>
      </c>
      <c r="L46" s="147">
        <v>0</v>
      </c>
      <c r="M46" s="163">
        <f t="shared" si="12"/>
        <v>0</v>
      </c>
      <c r="N46" s="147">
        <v>0</v>
      </c>
      <c r="O46" s="149">
        <v>0</v>
      </c>
      <c r="P46" s="147">
        <v>0</v>
      </c>
      <c r="Q46" s="147">
        <v>0</v>
      </c>
      <c r="R46" s="184">
        <v>0</v>
      </c>
      <c r="S46" s="137">
        <v>0</v>
      </c>
      <c r="T46" s="183">
        <v>0</v>
      </c>
      <c r="U46" s="138">
        <v>0</v>
      </c>
      <c r="V46" s="192">
        <f t="shared" si="0"/>
        <v>0</v>
      </c>
      <c r="W46" s="147">
        <v>0</v>
      </c>
      <c r="X46" s="147">
        <v>0</v>
      </c>
      <c r="Y46" s="147">
        <v>0</v>
      </c>
      <c r="Z46" s="184">
        <v>0</v>
      </c>
      <c r="AA46" s="192" t="str">
        <f t="shared" si="1"/>
        <v>-</v>
      </c>
      <c r="AB46" s="146">
        <v>0</v>
      </c>
      <c r="AC46" s="147">
        <v>0</v>
      </c>
      <c r="AD46" s="147">
        <v>0</v>
      </c>
      <c r="AE46" s="123">
        <f t="shared" si="2"/>
        <v>0</v>
      </c>
    </row>
    <row r="47" spans="1:31" s="1" customFormat="1" ht="14.25" customHeight="1" x14ac:dyDescent="0.2">
      <c r="A47" s="30" t="s">
        <v>34</v>
      </c>
      <c r="B47" s="146">
        <v>0</v>
      </c>
      <c r="C47" s="147">
        <v>0</v>
      </c>
      <c r="D47" s="147">
        <v>0</v>
      </c>
      <c r="E47" s="155">
        <f t="shared" si="11"/>
        <v>0</v>
      </c>
      <c r="F47" s="150">
        <v>0</v>
      </c>
      <c r="G47" s="150">
        <v>0</v>
      </c>
      <c r="H47" s="150">
        <v>0</v>
      </c>
      <c r="I47" s="147">
        <v>0</v>
      </c>
      <c r="J47" s="147">
        <v>0</v>
      </c>
      <c r="K47" s="147">
        <v>0</v>
      </c>
      <c r="L47" s="147">
        <v>0</v>
      </c>
      <c r="M47" s="163">
        <f t="shared" si="12"/>
        <v>0</v>
      </c>
      <c r="N47" s="147">
        <v>0</v>
      </c>
      <c r="O47" s="149">
        <v>0</v>
      </c>
      <c r="P47" s="147">
        <v>0</v>
      </c>
      <c r="Q47" s="147">
        <v>0</v>
      </c>
      <c r="R47" s="184">
        <v>0</v>
      </c>
      <c r="S47" s="137">
        <v>0</v>
      </c>
      <c r="T47" s="183">
        <v>0</v>
      </c>
      <c r="U47" s="138">
        <v>0</v>
      </c>
      <c r="V47" s="192">
        <f t="shared" si="0"/>
        <v>0</v>
      </c>
      <c r="W47" s="147">
        <v>0</v>
      </c>
      <c r="X47" s="147">
        <v>0</v>
      </c>
      <c r="Y47" s="147">
        <v>0</v>
      </c>
      <c r="Z47" s="184">
        <v>0</v>
      </c>
      <c r="AA47" s="192" t="str">
        <f t="shared" si="1"/>
        <v>-</v>
      </c>
      <c r="AB47" s="146">
        <v>0</v>
      </c>
      <c r="AC47" s="147">
        <v>0</v>
      </c>
      <c r="AD47" s="147">
        <v>0</v>
      </c>
      <c r="AE47" s="123">
        <f t="shared" si="2"/>
        <v>0</v>
      </c>
    </row>
    <row r="48" spans="1:31" s="1" customFormat="1" ht="14.25" customHeight="1" x14ac:dyDescent="0.2">
      <c r="A48" s="30" t="s">
        <v>35</v>
      </c>
      <c r="B48" s="146">
        <v>0</v>
      </c>
      <c r="C48" s="147">
        <v>0</v>
      </c>
      <c r="D48" s="147">
        <v>0</v>
      </c>
      <c r="E48" s="155">
        <f t="shared" si="11"/>
        <v>0</v>
      </c>
      <c r="F48" s="147">
        <v>0</v>
      </c>
      <c r="G48" s="147">
        <v>0</v>
      </c>
      <c r="H48" s="150">
        <v>0</v>
      </c>
      <c r="I48" s="147">
        <v>0</v>
      </c>
      <c r="J48" s="147">
        <v>0</v>
      </c>
      <c r="K48" s="147">
        <v>0</v>
      </c>
      <c r="L48" s="147">
        <v>0</v>
      </c>
      <c r="M48" s="163">
        <f t="shared" si="12"/>
        <v>0</v>
      </c>
      <c r="N48" s="147">
        <v>0</v>
      </c>
      <c r="O48" s="149">
        <v>0</v>
      </c>
      <c r="P48" s="147">
        <v>0</v>
      </c>
      <c r="Q48" s="147">
        <v>0</v>
      </c>
      <c r="R48" s="184">
        <v>0</v>
      </c>
      <c r="S48" s="137">
        <v>0</v>
      </c>
      <c r="T48" s="183">
        <v>0</v>
      </c>
      <c r="U48" s="138">
        <v>0</v>
      </c>
      <c r="V48" s="192">
        <f t="shared" si="0"/>
        <v>0</v>
      </c>
      <c r="W48" s="147">
        <v>0</v>
      </c>
      <c r="X48" s="147">
        <v>0</v>
      </c>
      <c r="Y48" s="147">
        <v>0</v>
      </c>
      <c r="Z48" s="184">
        <v>0</v>
      </c>
      <c r="AA48" s="192" t="str">
        <f t="shared" si="1"/>
        <v>-</v>
      </c>
      <c r="AB48" s="146">
        <v>0</v>
      </c>
      <c r="AC48" s="147">
        <v>0</v>
      </c>
      <c r="AD48" s="147">
        <v>0</v>
      </c>
      <c r="AE48" s="123">
        <f t="shared" si="2"/>
        <v>0</v>
      </c>
    </row>
    <row r="49" spans="1:31" s="1" customFormat="1" ht="14.25" customHeight="1" thickBot="1" x14ac:dyDescent="0.25">
      <c r="A49" s="43" t="s">
        <v>112</v>
      </c>
      <c r="B49" s="152">
        <v>0</v>
      </c>
      <c r="C49" s="151">
        <v>0</v>
      </c>
      <c r="D49" s="151">
        <v>0</v>
      </c>
      <c r="E49" s="169">
        <f t="shared" si="11"/>
        <v>0</v>
      </c>
      <c r="F49" s="151">
        <v>0</v>
      </c>
      <c r="G49" s="151">
        <v>0</v>
      </c>
      <c r="H49" s="153">
        <v>0</v>
      </c>
      <c r="I49" s="151">
        <v>0</v>
      </c>
      <c r="J49" s="151">
        <v>0</v>
      </c>
      <c r="K49" s="151">
        <v>0</v>
      </c>
      <c r="L49" s="151">
        <v>0</v>
      </c>
      <c r="M49" s="164">
        <f t="shared" si="12"/>
        <v>0</v>
      </c>
      <c r="N49" s="177">
        <v>0</v>
      </c>
      <c r="O49" s="178">
        <v>0</v>
      </c>
      <c r="P49" s="177">
        <v>0</v>
      </c>
      <c r="Q49" s="177">
        <v>0</v>
      </c>
      <c r="R49" s="191">
        <v>0</v>
      </c>
      <c r="S49" s="195">
        <v>0</v>
      </c>
      <c r="T49" s="189">
        <v>0</v>
      </c>
      <c r="U49" s="203">
        <v>0</v>
      </c>
      <c r="V49" s="193">
        <f t="shared" si="0"/>
        <v>0</v>
      </c>
      <c r="W49" s="177">
        <v>0</v>
      </c>
      <c r="X49" s="177">
        <v>0</v>
      </c>
      <c r="Y49" s="177">
        <v>0</v>
      </c>
      <c r="Z49" s="191">
        <v>0</v>
      </c>
      <c r="AA49" s="193" t="str">
        <f t="shared" si="1"/>
        <v>-</v>
      </c>
      <c r="AB49" s="146">
        <v>0</v>
      </c>
      <c r="AC49" s="147">
        <v>0</v>
      </c>
      <c r="AD49" s="147">
        <v>0</v>
      </c>
      <c r="AE49" s="123">
        <f t="shared" si="2"/>
        <v>0</v>
      </c>
    </row>
    <row r="50" spans="1:31" s="1" customFormat="1" ht="14.25" customHeight="1" thickBot="1" x14ac:dyDescent="0.25">
      <c r="A50" s="235"/>
      <c r="B50" s="168">
        <f t="shared" ref="B50:U50" si="13">SUM(B37:B49)</f>
        <v>55</v>
      </c>
      <c r="C50" s="172">
        <f t="shared" si="13"/>
        <v>83</v>
      </c>
      <c r="D50" s="172">
        <f t="shared" si="13"/>
        <v>95</v>
      </c>
      <c r="E50" s="172">
        <f t="shared" si="13"/>
        <v>233</v>
      </c>
      <c r="F50" s="165">
        <f t="shared" si="13"/>
        <v>18120</v>
      </c>
      <c r="G50" s="165">
        <f t="shared" si="13"/>
        <v>13850</v>
      </c>
      <c r="H50" s="165">
        <f t="shared" si="13"/>
        <v>0</v>
      </c>
      <c r="I50" s="165">
        <f t="shared" si="13"/>
        <v>0</v>
      </c>
      <c r="J50" s="165">
        <f t="shared" si="13"/>
        <v>0</v>
      </c>
      <c r="K50" s="165">
        <f t="shared" si="13"/>
        <v>0</v>
      </c>
      <c r="L50" s="165">
        <f t="shared" si="13"/>
        <v>0</v>
      </c>
      <c r="M50" s="165">
        <f t="shared" si="13"/>
        <v>31970</v>
      </c>
      <c r="N50" s="176">
        <f t="shared" si="13"/>
        <v>0</v>
      </c>
      <c r="O50" s="174">
        <f t="shared" si="13"/>
        <v>0</v>
      </c>
      <c r="P50" s="176">
        <f t="shared" si="13"/>
        <v>0</v>
      </c>
      <c r="Q50" s="176">
        <f t="shared" si="13"/>
        <v>0</v>
      </c>
      <c r="R50" s="187">
        <f t="shared" si="13"/>
        <v>0</v>
      </c>
      <c r="S50" s="198">
        <f t="shared" si="13"/>
        <v>0</v>
      </c>
      <c r="T50" s="196">
        <f t="shared" si="13"/>
        <v>0</v>
      </c>
      <c r="U50" s="204">
        <f t="shared" si="13"/>
        <v>0</v>
      </c>
      <c r="V50" s="206">
        <f>IF(SUM(V37:V49)&gt;0,AVERAGEIF(V37:V49,"&lt;&gt;0"),0)</f>
        <v>0</v>
      </c>
      <c r="W50" s="176">
        <f>SUM(W37:W49)</f>
        <v>0</v>
      </c>
      <c r="X50" s="176">
        <f>SUM(X37:X49)</f>
        <v>0</v>
      </c>
      <c r="Y50" s="176">
        <f>SUM(Y37:Y49)</f>
        <v>0</v>
      </c>
      <c r="Z50" s="187">
        <f>SUM(Z37:Z49)</f>
        <v>0</v>
      </c>
      <c r="AA50" s="161">
        <f>IF(SUM(AA37:AA49),AVERAGEIF(AA37:AA49,"&lt;&gt;0"),0)</f>
        <v>0</v>
      </c>
      <c r="AB50" s="168">
        <f>SUM(AB37:AB49)</f>
        <v>0</v>
      </c>
      <c r="AC50" s="165">
        <f>SUM(AC37:AC49)</f>
        <v>0</v>
      </c>
      <c r="AD50" s="165">
        <f>SUM(AD37:AD49)</f>
        <v>0</v>
      </c>
      <c r="AE50" s="127">
        <f>SUM(AE37:AE49)</f>
        <v>0</v>
      </c>
    </row>
    <row r="51" spans="1:31" s="1" customFormat="1" thickBot="1" x14ac:dyDescent="0.25">
      <c r="A51" s="77" t="s">
        <v>119</v>
      </c>
      <c r="B51" s="181">
        <f>B10+B15+B21+B26+B36+B50</f>
        <v>718</v>
      </c>
      <c r="C51" s="182">
        <f t="shared" ref="C51:U51" si="14">C10+C15+C21+C26+C36+C50</f>
        <v>971</v>
      </c>
      <c r="D51" s="182">
        <f t="shared" si="14"/>
        <v>1048</v>
      </c>
      <c r="E51" s="182">
        <f t="shared" si="14"/>
        <v>2737</v>
      </c>
      <c r="F51" s="182">
        <f t="shared" si="14"/>
        <v>348060</v>
      </c>
      <c r="G51" s="182">
        <f t="shared" si="14"/>
        <v>219930</v>
      </c>
      <c r="H51" s="182">
        <f t="shared" si="14"/>
        <v>0</v>
      </c>
      <c r="I51" s="182">
        <f t="shared" si="14"/>
        <v>22070</v>
      </c>
      <c r="J51" s="182">
        <f t="shared" si="14"/>
        <v>0</v>
      </c>
      <c r="K51" s="182">
        <f t="shared" si="14"/>
        <v>40230</v>
      </c>
      <c r="L51" s="182">
        <f t="shared" si="14"/>
        <v>22500</v>
      </c>
      <c r="M51" s="182">
        <f t="shared" si="14"/>
        <v>652790</v>
      </c>
      <c r="N51" s="182">
        <f t="shared" si="14"/>
        <v>51</v>
      </c>
      <c r="O51" s="182">
        <f t="shared" si="14"/>
        <v>14</v>
      </c>
      <c r="P51" s="180">
        <f t="shared" si="14"/>
        <v>0</v>
      </c>
      <c r="Q51" s="188">
        <f t="shared" si="14"/>
        <v>0</v>
      </c>
      <c r="R51" s="128">
        <f t="shared" si="14"/>
        <v>0</v>
      </c>
      <c r="S51" s="199">
        <f t="shared" si="14"/>
        <v>0</v>
      </c>
      <c r="T51" s="197">
        <f t="shared" si="14"/>
        <v>0</v>
      </c>
      <c r="U51" s="128">
        <f t="shared" si="14"/>
        <v>0</v>
      </c>
      <c r="V51" s="190">
        <f>IF(SUM(V6:V50)&gt;0,AVERAGEIF(V6:V50, "&lt;&gt;0"),0)</f>
        <v>0</v>
      </c>
      <c r="W51" s="179">
        <f>W10+W15+W21+W26+W36+W50</f>
        <v>0</v>
      </c>
      <c r="X51" s="188">
        <f>X10+X15+X21+X26+X36+X50</f>
        <v>0</v>
      </c>
      <c r="Y51" s="180">
        <f>Y10+Y15+Y21+Y26+Y36+Y50</f>
        <v>0</v>
      </c>
      <c r="Z51" s="180">
        <f>Z10+Z15+Z21+Z26+Z36+Z50</f>
        <v>0</v>
      </c>
      <c r="AA51" s="190">
        <f>IF(SUM(AA6:AA50)&gt;0,AVERAGEIF(AA6:AA50, "&lt;&gt;0"),0)</f>
        <v>0</v>
      </c>
      <c r="AB51" s="179">
        <f>AB10+AB15+AB21+AB26+AB36+AB50</f>
        <v>0</v>
      </c>
      <c r="AC51" s="180">
        <f>AC10+AC15+AC21+AC26+AC36+AC50</f>
        <v>0</v>
      </c>
      <c r="AD51" s="180">
        <f>AD10+AD15+AD21+AD26+AD36+AD50</f>
        <v>0</v>
      </c>
      <c r="AE51" s="190">
        <f>AE10+AE15+AE21+AE26+AE36+AE50</f>
        <v>0</v>
      </c>
    </row>
    <row r="55" spans="1:31" x14ac:dyDescent="0.25">
      <c r="C55" s="133"/>
    </row>
  </sheetData>
  <sheetProtection password="A367" sheet="1" objects="1" scenarios="1"/>
  <mergeCells count="8">
    <mergeCell ref="B4:E4"/>
    <mergeCell ref="AB4:AE4"/>
    <mergeCell ref="A1:A3"/>
    <mergeCell ref="F4:M4"/>
    <mergeCell ref="N4:O4"/>
    <mergeCell ref="P4:R4"/>
    <mergeCell ref="S4:V4"/>
    <mergeCell ref="W4:AA4"/>
  </mergeCells>
  <conditionalFormatting sqref="S27:S35 U27:U35">
    <cfRule type="containsBlanks" dxfId="253" priority="34">
      <formula>LEN(TRIM(S27))=0</formula>
    </cfRule>
  </conditionalFormatting>
  <conditionalFormatting sqref="S37:S49 U37:U49">
    <cfRule type="containsBlanks" dxfId="252" priority="33">
      <formula>LEN(TRIM(S37))=0</formula>
    </cfRule>
  </conditionalFormatting>
  <conditionalFormatting sqref="AA6:AA9">
    <cfRule type="containsBlanks" dxfId="251" priority="32">
      <formula>LEN(TRIM(AA6))=0</formula>
    </cfRule>
  </conditionalFormatting>
  <conditionalFormatting sqref="AA11:AA14">
    <cfRule type="containsBlanks" dxfId="250" priority="31">
      <formula>LEN(TRIM(AA11))=0</formula>
    </cfRule>
  </conditionalFormatting>
  <conditionalFormatting sqref="AA16:AA20">
    <cfRule type="containsBlanks" dxfId="249" priority="30">
      <formula>LEN(TRIM(AA16))=0</formula>
    </cfRule>
  </conditionalFormatting>
  <conditionalFormatting sqref="AB11:AD11">
    <cfRule type="containsBlanks" dxfId="248" priority="49">
      <formula>LEN(TRIM(AB11))=0</formula>
    </cfRule>
  </conditionalFormatting>
  <conditionalFormatting sqref="AB8:AD8">
    <cfRule type="containsBlanks" dxfId="247" priority="48">
      <formula>LEN(TRIM(AB8))=0</formula>
    </cfRule>
  </conditionalFormatting>
  <conditionalFormatting sqref="AB9:AD9">
    <cfRule type="containsBlanks" dxfId="246" priority="47">
      <formula>LEN(TRIM(AB9))=0</formula>
    </cfRule>
  </conditionalFormatting>
  <conditionalFormatting sqref="AE11:AE14">
    <cfRule type="containsBlanks" dxfId="245" priority="46">
      <formula>LEN(TRIM(AE11))=0</formula>
    </cfRule>
  </conditionalFormatting>
  <conditionalFormatting sqref="AE16:AE20">
    <cfRule type="containsBlanks" dxfId="244" priority="45">
      <formula>LEN(TRIM(AE16))=0</formula>
    </cfRule>
  </conditionalFormatting>
  <conditionalFormatting sqref="AE22:AE25">
    <cfRule type="containsBlanks" dxfId="243" priority="44">
      <formula>LEN(TRIM(AE22))=0</formula>
    </cfRule>
  </conditionalFormatting>
  <conditionalFormatting sqref="V27:V35">
    <cfRule type="containsBlanks" dxfId="242" priority="23">
      <formula>LEN(TRIM(V27))=0</formula>
    </cfRule>
  </conditionalFormatting>
  <conditionalFormatting sqref="V37:V49">
    <cfRule type="containsBlanks" dxfId="241" priority="22">
      <formula>LEN(TRIM(V37))=0</formula>
    </cfRule>
  </conditionalFormatting>
  <conditionalFormatting sqref="P12:P14 P22:P49 P16:P20 P6:P7 R6:R7 R16:R20 R22:R49 R12:R14">
    <cfRule type="containsBlanks" dxfId="240" priority="21">
      <formula>LEN(TRIM(P6))=0</formula>
    </cfRule>
  </conditionalFormatting>
  <conditionalFormatting sqref="P11 R11">
    <cfRule type="containsBlanks" dxfId="239" priority="20">
      <formula>LEN(TRIM(P11))=0</formula>
    </cfRule>
  </conditionalFormatting>
  <conditionalFormatting sqref="P8 R8">
    <cfRule type="containsBlanks" dxfId="238" priority="19">
      <formula>LEN(TRIM(P8))=0</formula>
    </cfRule>
  </conditionalFormatting>
  <conditionalFormatting sqref="G6:I9 G11:I14 K11:O14 K6:O9">
    <cfRule type="containsBlanks" dxfId="237" priority="80">
      <formula>LEN(TRIM(G6))=0</formula>
    </cfRule>
  </conditionalFormatting>
  <conditionalFormatting sqref="G26:I26 G36:I36 K36:O36 K26:O26">
    <cfRule type="containsBlanks" dxfId="236" priority="81">
      <formula>LEN(TRIM(G26))=0</formula>
    </cfRule>
  </conditionalFormatting>
  <conditionalFormatting sqref="T22:T25">
    <cfRule type="containsBlanks" dxfId="235" priority="10">
      <formula>LEN(TRIM(T22))=0</formula>
    </cfRule>
  </conditionalFormatting>
  <conditionalFormatting sqref="G16:I20 K16:O20">
    <cfRule type="containsBlanks" dxfId="234" priority="79">
      <formula>LEN(TRIM(G16))=0</formula>
    </cfRule>
  </conditionalFormatting>
  <conditionalFormatting sqref="G22:I25 K22:O25">
    <cfRule type="containsBlanks" dxfId="233" priority="78">
      <formula>LEN(TRIM(G22))=0</formula>
    </cfRule>
  </conditionalFormatting>
  <conditionalFormatting sqref="G27:I28 G30:I35 M29:O29 K30:O35 K27:O28">
    <cfRule type="containsBlanks" dxfId="232" priority="77">
      <formula>LEN(TRIM(G27))=0</formula>
    </cfRule>
  </conditionalFormatting>
  <conditionalFormatting sqref="G37:I49 K37:O49">
    <cfRule type="containsBlanks" dxfId="231" priority="76">
      <formula>LEN(TRIM(G37))=0</formula>
    </cfRule>
  </conditionalFormatting>
  <conditionalFormatting sqref="T11:T14">
    <cfRule type="containsBlanks" dxfId="230" priority="12">
      <formula>LEN(TRIM(T11))=0</formula>
    </cfRule>
  </conditionalFormatting>
  <conditionalFormatting sqref="T16:T20">
    <cfRule type="containsBlanks" dxfId="229" priority="11">
      <formula>LEN(TRIM(T16))=0</formula>
    </cfRule>
  </conditionalFormatting>
  <conditionalFormatting sqref="T27:T35">
    <cfRule type="containsBlanks" dxfId="228" priority="9">
      <formula>LEN(TRIM(T27))=0</formula>
    </cfRule>
  </conditionalFormatting>
  <conditionalFormatting sqref="G29:I29 K29:L29">
    <cfRule type="containsBlanks" dxfId="227" priority="71">
      <formula>LEN(TRIM(G29))=0</formula>
    </cfRule>
  </conditionalFormatting>
  <conditionalFormatting sqref="AA37:AA49">
    <cfRule type="containsBlanks" dxfId="226" priority="27">
      <formula>LEN(TRIM(AA37))=0</formula>
    </cfRule>
  </conditionalFormatting>
  <conditionalFormatting sqref="V11:V14">
    <cfRule type="containsBlanks" dxfId="225" priority="26">
      <formula>LEN(TRIM(V11))=0</formula>
    </cfRule>
  </conditionalFormatting>
  <conditionalFormatting sqref="V16:V20">
    <cfRule type="containsBlanks" dxfId="224" priority="25">
      <formula>LEN(TRIM(V16))=0</formula>
    </cfRule>
  </conditionalFormatting>
  <conditionalFormatting sqref="V22:V25">
    <cfRule type="containsBlanks" dxfId="223" priority="24">
      <formula>LEN(TRIM(V22))=0</formula>
    </cfRule>
  </conditionalFormatting>
  <conditionalFormatting sqref="P9 R9">
    <cfRule type="containsBlanks" dxfId="222" priority="18">
      <formula>LEN(TRIM(P9))=0</formula>
    </cfRule>
  </conditionalFormatting>
  <conditionalFormatting sqref="Q8">
    <cfRule type="containsBlanks" dxfId="221" priority="15">
      <formula>LEN(TRIM(Q8))=0</formula>
    </cfRule>
  </conditionalFormatting>
  <conditionalFormatting sqref="Q6:Q7 Q16:Q20 Q22:Q49 Q12:Q14">
    <cfRule type="containsBlanks" dxfId="220" priority="17">
      <formula>LEN(TRIM(Q6))=0</formula>
    </cfRule>
  </conditionalFormatting>
  <conditionalFormatting sqref="Q11">
    <cfRule type="containsBlanks" dxfId="219" priority="16">
      <formula>LEN(TRIM(Q11))=0</formula>
    </cfRule>
  </conditionalFormatting>
  <conditionalFormatting sqref="Q9">
    <cfRule type="containsBlanks" dxfId="218" priority="14">
      <formula>LEN(TRIM(Q9))=0</formula>
    </cfRule>
  </conditionalFormatting>
  <conditionalFormatting sqref="T6:T9 T36 T26">
    <cfRule type="containsBlanks" dxfId="217" priority="13">
      <formula>LEN(TRIM(T6))=0</formula>
    </cfRule>
  </conditionalFormatting>
  <conditionalFormatting sqref="T37:T49">
    <cfRule type="containsBlanks" dxfId="216" priority="8">
      <formula>LEN(TRIM(T37))=0</formula>
    </cfRule>
  </conditionalFormatting>
  <conditionalFormatting sqref="AB26:AE26 AB12:AD14 AB6:AE6 AB7:AD7 AE7:AE9 AB16:AD20 AB22:AD25 AB36:AE36 AB27:AD35 AB37:AD49">
    <cfRule type="containsBlanks" dxfId="215" priority="50">
      <formula>LEN(TRIM(AB6))=0</formula>
    </cfRule>
  </conditionalFormatting>
  <conditionalFormatting sqref="AE27:AE35">
    <cfRule type="containsBlanks" dxfId="214" priority="43">
      <formula>LEN(TRIM(AE27))=0</formula>
    </cfRule>
  </conditionalFormatting>
  <conditionalFormatting sqref="AE37:AE49">
    <cfRule type="containsBlanks" dxfId="213" priority="42">
      <formula>LEN(TRIM(AE37))=0</formula>
    </cfRule>
  </conditionalFormatting>
  <conditionalFormatting sqref="S26 S36 W6:Z7 W22:Z49 W16:Z20 W12:Z14 S6:S9 U6:V9 U36 U26">
    <cfRule type="containsBlanks" dxfId="212" priority="41">
      <formula>LEN(TRIM(S6))=0</formula>
    </cfRule>
  </conditionalFormatting>
  <conditionalFormatting sqref="W11:Z11">
    <cfRule type="containsBlanks" dxfId="211" priority="40">
      <formula>LEN(TRIM(W11))=0</formula>
    </cfRule>
  </conditionalFormatting>
  <conditionalFormatting sqref="W8:Z8">
    <cfRule type="containsBlanks" dxfId="210" priority="39">
      <formula>LEN(TRIM(W8))=0</formula>
    </cfRule>
  </conditionalFormatting>
  <conditionalFormatting sqref="W9:Z9">
    <cfRule type="containsBlanks" dxfId="209" priority="38">
      <formula>LEN(TRIM(W9))=0</formula>
    </cfRule>
  </conditionalFormatting>
  <conditionalFormatting sqref="S11:S14 U11:U14">
    <cfRule type="containsBlanks" dxfId="208" priority="37">
      <formula>LEN(TRIM(S11))=0</formula>
    </cfRule>
  </conditionalFormatting>
  <conditionalFormatting sqref="S16:S20 U16:U20">
    <cfRule type="containsBlanks" dxfId="207" priority="36">
      <formula>LEN(TRIM(S16))=0</formula>
    </cfRule>
  </conditionalFormatting>
  <conditionalFormatting sqref="S22:S25 U22:U25">
    <cfRule type="containsBlanks" dxfId="206" priority="35">
      <formula>LEN(TRIM(S22))=0</formula>
    </cfRule>
  </conditionalFormatting>
  <conditionalFormatting sqref="AA22:AA25">
    <cfRule type="containsBlanks" dxfId="205" priority="29">
      <formula>LEN(TRIM(AA22))=0</formula>
    </cfRule>
  </conditionalFormatting>
  <conditionalFormatting sqref="AA27:AA35">
    <cfRule type="containsBlanks" dxfId="204" priority="28">
      <formula>LEN(TRIM(AA27))=0</formula>
    </cfRule>
  </conditionalFormatting>
  <conditionalFormatting sqref="J6:J9 J11:J14">
    <cfRule type="containsBlanks" dxfId="203" priority="6">
      <formula>LEN(TRIM(J6))=0</formula>
    </cfRule>
  </conditionalFormatting>
  <conditionalFormatting sqref="J26 J36">
    <cfRule type="containsBlanks" dxfId="202" priority="7">
      <formula>LEN(TRIM(J26))=0</formula>
    </cfRule>
  </conditionalFormatting>
  <conditionalFormatting sqref="J16:J20">
    <cfRule type="containsBlanks" dxfId="201" priority="5">
      <formula>LEN(TRIM(J16))=0</formula>
    </cfRule>
  </conditionalFormatting>
  <conditionalFormatting sqref="J22:J25">
    <cfRule type="containsBlanks" dxfId="200" priority="4">
      <formula>LEN(TRIM(J22))=0</formula>
    </cfRule>
  </conditionalFormatting>
  <conditionalFormatting sqref="J27:J28 J30:J35">
    <cfRule type="containsBlanks" dxfId="199" priority="3">
      <formula>LEN(TRIM(J27))=0</formula>
    </cfRule>
  </conditionalFormatting>
  <conditionalFormatting sqref="J37:J49">
    <cfRule type="containsBlanks" dxfId="198" priority="2">
      <formula>LEN(TRIM(J37))=0</formula>
    </cfRule>
  </conditionalFormatting>
  <conditionalFormatting sqref="J29">
    <cfRule type="containsBlanks" dxfId="197" priority="1">
      <formula>LEN(TRIM(J29))=0</formula>
    </cfRule>
  </conditionalFormatting>
  <dataValidations count="1">
    <dataValidation type="whole" allowBlank="1" showInputMessage="1" showErrorMessage="1" errorTitle="ERROR!" error="Sorry, the value you entered is invalid! It must be 0 or 1." prompt="Value must be 1 if COD is between 1st  to 3rd, else 0." sqref="S6:U9 S11:U14 S16:U20 S22:U25 S27:U35 S37:U49">
      <formula1>0</formula1>
      <formula2>1</formula2>
    </dataValidation>
  </dataValidation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E55"/>
  <sheetViews>
    <sheetView workbookViewId="0">
      <pane xSplit="1" ySplit="5" topLeftCell="B6" activePane="bottomRight" state="frozen"/>
      <selection activeCell="AD4" sqref="AD4:AF4"/>
      <selection pane="topRight" activeCell="AD4" sqref="AD4:AF4"/>
      <selection pane="bottomLeft" activeCell="AD4" sqref="AD4:AF4"/>
      <selection pane="bottomRight" activeCell="C3" sqref="C3"/>
    </sheetView>
  </sheetViews>
  <sheetFormatPr defaultRowHeight="15" x14ac:dyDescent="0.25"/>
  <cols>
    <col min="1" max="1" width="23" style="1" customWidth="1"/>
    <col min="2" max="3" width="10.85546875" style="129" customWidth="1"/>
    <col min="4" max="4" width="12.42578125" style="129" customWidth="1"/>
    <col min="5" max="5" width="13.140625" style="129" customWidth="1"/>
    <col min="6" max="6" width="12.5703125" style="129" customWidth="1"/>
    <col min="7" max="7" width="15" style="129" customWidth="1"/>
    <col min="8" max="8" width="15.140625" style="129" customWidth="1"/>
    <col min="9" max="10" width="15.85546875" style="129" customWidth="1"/>
    <col min="11" max="11" width="15.28515625" style="129" customWidth="1"/>
    <col min="12" max="12" width="18.140625" style="129" customWidth="1"/>
    <col min="13" max="13" width="17.140625" style="129" customWidth="1"/>
    <col min="14" max="14" width="17.42578125" style="129" customWidth="1"/>
    <col min="15" max="15" width="16.5703125" style="129" customWidth="1"/>
    <col min="16" max="21" width="16.7109375" style="129" customWidth="1"/>
    <col min="22" max="23" width="17.28515625" style="129" customWidth="1"/>
    <col min="24" max="24" width="16.7109375" style="129" customWidth="1"/>
    <col min="25" max="26" width="15.28515625" style="129" customWidth="1"/>
    <col min="27" max="27" width="15.85546875" style="129" customWidth="1"/>
    <col min="28" max="28" width="18.7109375" style="129" customWidth="1"/>
    <col min="29" max="29" width="20.140625" style="129" customWidth="1"/>
    <col min="30" max="30" width="18.140625" style="129" customWidth="1"/>
    <col min="31" max="31" width="17.140625" style="129" customWidth="1"/>
    <col min="32" max="16384" width="9.140625" style="12"/>
  </cols>
  <sheetData>
    <row r="1" spans="1:31" s="5" customFormat="1" ht="14.25" customHeight="1" x14ac:dyDescent="0.2">
      <c r="A1" s="288"/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</row>
    <row r="2" spans="1:31" s="5" customFormat="1" ht="14.25" customHeight="1" x14ac:dyDescent="0.2">
      <c r="A2" s="288"/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</row>
    <row r="3" spans="1:31" s="5" customFormat="1" ht="14.25" customHeight="1" thickBot="1" x14ac:dyDescent="0.25">
      <c r="A3" s="288"/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</row>
    <row r="4" spans="1:31" s="1" customFormat="1" ht="18.75" thickBot="1" x14ac:dyDescent="0.3">
      <c r="A4" s="25"/>
      <c r="B4" s="289" t="s">
        <v>122</v>
      </c>
      <c r="C4" s="290"/>
      <c r="D4" s="290"/>
      <c r="E4" s="291"/>
      <c r="F4" s="285" t="s">
        <v>127</v>
      </c>
      <c r="G4" s="286"/>
      <c r="H4" s="286"/>
      <c r="I4" s="286"/>
      <c r="J4" s="286"/>
      <c r="K4" s="286"/>
      <c r="L4" s="286"/>
      <c r="M4" s="287"/>
      <c r="N4" s="285" t="s">
        <v>67</v>
      </c>
      <c r="O4" s="287"/>
      <c r="P4" s="285" t="s">
        <v>152</v>
      </c>
      <c r="Q4" s="286"/>
      <c r="R4" s="287"/>
      <c r="S4" s="285" t="s">
        <v>163</v>
      </c>
      <c r="T4" s="286"/>
      <c r="U4" s="286"/>
      <c r="V4" s="287"/>
      <c r="W4" s="285" t="s">
        <v>156</v>
      </c>
      <c r="X4" s="286"/>
      <c r="Y4" s="286"/>
      <c r="Z4" s="286"/>
      <c r="AA4" s="287"/>
      <c r="AB4" s="282" t="s">
        <v>181</v>
      </c>
      <c r="AC4" s="283"/>
      <c r="AD4" s="283"/>
      <c r="AE4" s="284"/>
    </row>
    <row r="5" spans="1:31" s="1" customFormat="1" ht="16.5" customHeight="1" x14ac:dyDescent="0.25">
      <c r="A5" s="28" t="s">
        <v>0</v>
      </c>
      <c r="B5" s="131" t="s">
        <v>7</v>
      </c>
      <c r="C5" s="132" t="s">
        <v>8</v>
      </c>
      <c r="D5" s="132" t="s">
        <v>9</v>
      </c>
      <c r="E5" s="132" t="s">
        <v>10</v>
      </c>
      <c r="F5" s="132" t="s">
        <v>187</v>
      </c>
      <c r="G5" s="132" t="s">
        <v>11</v>
      </c>
      <c r="H5" s="132" t="s">
        <v>125</v>
      </c>
      <c r="I5" s="132" t="s">
        <v>126</v>
      </c>
      <c r="J5" s="132" t="s">
        <v>188</v>
      </c>
      <c r="K5" s="132" t="s">
        <v>150</v>
      </c>
      <c r="L5" s="132" t="s">
        <v>12</v>
      </c>
      <c r="M5" s="132" t="s">
        <v>10</v>
      </c>
      <c r="N5" s="132" t="s">
        <v>13</v>
      </c>
      <c r="O5" s="29" t="s">
        <v>42</v>
      </c>
      <c r="P5" s="134" t="s">
        <v>153</v>
      </c>
      <c r="Q5" s="134" t="s">
        <v>155</v>
      </c>
      <c r="R5" s="135" t="s">
        <v>154</v>
      </c>
      <c r="S5" s="131" t="s">
        <v>159</v>
      </c>
      <c r="T5" s="200" t="s">
        <v>155</v>
      </c>
      <c r="U5" s="132" t="s">
        <v>154</v>
      </c>
      <c r="V5" s="136" t="s">
        <v>166</v>
      </c>
      <c r="W5" s="134" t="s">
        <v>161</v>
      </c>
      <c r="X5" s="134" t="s">
        <v>153</v>
      </c>
      <c r="Y5" s="134" t="s">
        <v>155</v>
      </c>
      <c r="Z5" s="135" t="s">
        <v>154</v>
      </c>
      <c r="AA5" s="136" t="s">
        <v>164</v>
      </c>
      <c r="AB5" s="131" t="s">
        <v>182</v>
      </c>
      <c r="AC5" s="132" t="s">
        <v>183</v>
      </c>
      <c r="AD5" s="132" t="s">
        <v>184</v>
      </c>
      <c r="AE5" s="29" t="s">
        <v>10</v>
      </c>
    </row>
    <row r="6" spans="1:31" s="1" customFormat="1" ht="15" customHeight="1" x14ac:dyDescent="0.2">
      <c r="A6" s="30" t="s">
        <v>1</v>
      </c>
      <c r="B6" s="137">
        <v>90</v>
      </c>
      <c r="C6" s="138">
        <v>91</v>
      </c>
      <c r="D6" s="138">
        <v>84</v>
      </c>
      <c r="E6" s="155">
        <f>SUM(B6:D6)</f>
        <v>265</v>
      </c>
      <c r="F6" s="139">
        <v>50320</v>
      </c>
      <c r="G6" s="139">
        <v>11000</v>
      </c>
      <c r="H6" s="147">
        <v>0</v>
      </c>
      <c r="I6" s="139">
        <v>4250</v>
      </c>
      <c r="J6" s="139">
        <v>0</v>
      </c>
      <c r="K6" s="138">
        <v>0</v>
      </c>
      <c r="L6" s="138">
        <v>0</v>
      </c>
      <c r="M6" s="163">
        <f>SUM(F6:L6)</f>
        <v>65570</v>
      </c>
      <c r="N6" s="138">
        <v>1</v>
      </c>
      <c r="O6" s="140">
        <v>4</v>
      </c>
      <c r="P6" s="138">
        <v>0</v>
      </c>
      <c r="Q6" s="138">
        <v>0</v>
      </c>
      <c r="R6" s="201">
        <v>0</v>
      </c>
      <c r="S6" s="137">
        <v>0</v>
      </c>
      <c r="T6" s="183">
        <v>0</v>
      </c>
      <c r="U6" s="138">
        <v>0</v>
      </c>
      <c r="V6" s="192">
        <f>SUM(S6:U6)</f>
        <v>0</v>
      </c>
      <c r="W6" s="138">
        <v>0</v>
      </c>
      <c r="X6" s="138">
        <v>0</v>
      </c>
      <c r="Y6" s="138">
        <v>0</v>
      </c>
      <c r="Z6" s="183">
        <v>0</v>
      </c>
      <c r="AA6" s="192" t="str">
        <f>IF(SUM(W6:Z6)&gt;0,AVERAGEIF(W6:Z6,"&lt;&gt;0"),"-")</f>
        <v>-</v>
      </c>
      <c r="AB6" s="142">
        <v>0</v>
      </c>
      <c r="AC6" s="138">
        <v>0</v>
      </c>
      <c r="AD6" s="138">
        <v>0</v>
      </c>
      <c r="AE6" s="123">
        <f>SUM(AB6:AD6)</f>
        <v>0</v>
      </c>
    </row>
    <row r="7" spans="1:31" s="1" customFormat="1" ht="15" customHeight="1" x14ac:dyDescent="0.2">
      <c r="A7" s="30" t="s">
        <v>2</v>
      </c>
      <c r="B7" s="137">
        <v>69</v>
      </c>
      <c r="C7" s="138">
        <v>88</v>
      </c>
      <c r="D7" s="138">
        <v>80</v>
      </c>
      <c r="E7" s="155">
        <f>SUM(B7:D7)</f>
        <v>237</v>
      </c>
      <c r="F7" s="141">
        <v>35010</v>
      </c>
      <c r="G7" s="139">
        <v>9100</v>
      </c>
      <c r="H7" s="147">
        <v>0</v>
      </c>
      <c r="I7" s="139">
        <v>2800</v>
      </c>
      <c r="J7" s="139">
        <v>0</v>
      </c>
      <c r="K7" s="138">
        <v>0</v>
      </c>
      <c r="L7" s="138">
        <v>0</v>
      </c>
      <c r="M7" s="163">
        <f>SUM(F7:L7)</f>
        <v>46910</v>
      </c>
      <c r="N7" s="138">
        <v>1</v>
      </c>
      <c r="O7" s="140">
        <v>3</v>
      </c>
      <c r="P7" s="138">
        <v>0</v>
      </c>
      <c r="Q7" s="138">
        <v>0</v>
      </c>
      <c r="R7" s="183">
        <v>0</v>
      </c>
      <c r="S7" s="137">
        <v>0</v>
      </c>
      <c r="T7" s="183">
        <v>0</v>
      </c>
      <c r="U7" s="138">
        <v>0</v>
      </c>
      <c r="V7" s="192">
        <f t="shared" ref="V7:V49" si="0">SUM(S7:U7)</f>
        <v>0</v>
      </c>
      <c r="W7" s="138">
        <v>0</v>
      </c>
      <c r="X7" s="138">
        <v>0</v>
      </c>
      <c r="Y7" s="138">
        <v>0</v>
      </c>
      <c r="Z7" s="183">
        <v>0</v>
      </c>
      <c r="AA7" s="192" t="str">
        <f t="shared" ref="AA7:AA49" si="1">IF(SUM(W7:Z7)&gt;0,AVERAGEIF(W7:Z7,"&lt;&gt;0"),"-")</f>
        <v>-</v>
      </c>
      <c r="AB7" s="142">
        <v>0</v>
      </c>
      <c r="AC7" s="138">
        <v>0</v>
      </c>
      <c r="AD7" s="138">
        <v>0</v>
      </c>
      <c r="AE7" s="123">
        <f t="shared" ref="AE7:AE49" si="2">SUM(AB7:AD7)</f>
        <v>0</v>
      </c>
    </row>
    <row r="8" spans="1:31" s="1" customFormat="1" ht="15" customHeight="1" x14ac:dyDescent="0.2">
      <c r="A8" s="30" t="s">
        <v>5</v>
      </c>
      <c r="B8" s="146">
        <v>4</v>
      </c>
      <c r="C8" s="147">
        <v>6</v>
      </c>
      <c r="D8" s="147">
        <v>1</v>
      </c>
      <c r="E8" s="155">
        <f>SUM(B8:D8)</f>
        <v>11</v>
      </c>
      <c r="F8" s="147">
        <v>3550</v>
      </c>
      <c r="G8" s="147">
        <v>0</v>
      </c>
      <c r="H8" s="147">
        <v>0</v>
      </c>
      <c r="I8" s="147">
        <v>0</v>
      </c>
      <c r="J8" s="147">
        <v>0</v>
      </c>
      <c r="K8" s="147">
        <v>0</v>
      </c>
      <c r="L8" s="147">
        <v>0</v>
      </c>
      <c r="M8" s="163">
        <f>SUM(F8:L8)</f>
        <v>3550</v>
      </c>
      <c r="N8" s="147">
        <v>3</v>
      </c>
      <c r="O8" s="149">
        <v>0</v>
      </c>
      <c r="P8" s="147">
        <v>0</v>
      </c>
      <c r="Q8" s="147">
        <v>0</v>
      </c>
      <c r="R8" s="184">
        <v>0</v>
      </c>
      <c r="S8" s="137">
        <v>0</v>
      </c>
      <c r="T8" s="183">
        <v>0</v>
      </c>
      <c r="U8" s="138">
        <v>0</v>
      </c>
      <c r="V8" s="192">
        <f t="shared" si="0"/>
        <v>0</v>
      </c>
      <c r="W8" s="147">
        <v>0</v>
      </c>
      <c r="X8" s="147">
        <v>0</v>
      </c>
      <c r="Y8" s="147">
        <v>0</v>
      </c>
      <c r="Z8" s="184">
        <v>0</v>
      </c>
      <c r="AA8" s="192" t="str">
        <f t="shared" si="1"/>
        <v>-</v>
      </c>
      <c r="AB8" s="146">
        <v>0</v>
      </c>
      <c r="AC8" s="147">
        <v>0</v>
      </c>
      <c r="AD8" s="147">
        <v>0</v>
      </c>
      <c r="AE8" s="123">
        <f t="shared" si="2"/>
        <v>0</v>
      </c>
    </row>
    <row r="9" spans="1:31" s="1" customFormat="1" ht="15" customHeight="1" x14ac:dyDescent="0.2">
      <c r="A9" s="30" t="s">
        <v>6</v>
      </c>
      <c r="B9" s="146">
        <v>10</v>
      </c>
      <c r="C9" s="147">
        <v>11</v>
      </c>
      <c r="D9" s="147">
        <v>10</v>
      </c>
      <c r="E9" s="155">
        <f>SUM(B9:D9)</f>
        <v>31</v>
      </c>
      <c r="F9" s="147">
        <v>5150</v>
      </c>
      <c r="G9" s="147">
        <v>2500</v>
      </c>
      <c r="H9" s="147">
        <v>0</v>
      </c>
      <c r="I9" s="147">
        <v>0</v>
      </c>
      <c r="J9" s="147">
        <v>0</v>
      </c>
      <c r="K9" s="147">
        <v>0</v>
      </c>
      <c r="L9" s="147">
        <v>0</v>
      </c>
      <c r="M9" s="163">
        <f>SUM(F9:L9)</f>
        <v>7650</v>
      </c>
      <c r="N9" s="147">
        <v>4</v>
      </c>
      <c r="O9" s="149">
        <v>0</v>
      </c>
      <c r="P9" s="147">
        <v>0</v>
      </c>
      <c r="Q9" s="147">
        <v>0</v>
      </c>
      <c r="R9" s="184">
        <v>0</v>
      </c>
      <c r="S9" s="137">
        <v>0</v>
      </c>
      <c r="T9" s="183">
        <v>0</v>
      </c>
      <c r="U9" s="138">
        <v>0</v>
      </c>
      <c r="V9" s="192">
        <f t="shared" si="0"/>
        <v>0</v>
      </c>
      <c r="W9" s="147">
        <v>0</v>
      </c>
      <c r="X9" s="147">
        <v>0</v>
      </c>
      <c r="Y9" s="147">
        <v>0</v>
      </c>
      <c r="Z9" s="184">
        <v>0</v>
      </c>
      <c r="AA9" s="192" t="str">
        <f t="shared" si="1"/>
        <v>-</v>
      </c>
      <c r="AB9" s="146">
        <v>0</v>
      </c>
      <c r="AC9" s="147">
        <v>0</v>
      </c>
      <c r="AD9" s="147">
        <v>0</v>
      </c>
      <c r="AE9" s="123">
        <f t="shared" si="2"/>
        <v>0</v>
      </c>
    </row>
    <row r="10" spans="1:31" s="1" customFormat="1" ht="15" customHeight="1" x14ac:dyDescent="0.2">
      <c r="A10" s="237"/>
      <c r="B10" s="170">
        <f t="shared" ref="B10:U10" si="3">SUM(B6:B9)</f>
        <v>173</v>
      </c>
      <c r="C10" s="156">
        <f t="shared" si="3"/>
        <v>196</v>
      </c>
      <c r="D10" s="156">
        <f t="shared" si="3"/>
        <v>175</v>
      </c>
      <c r="E10" s="156">
        <f t="shared" si="3"/>
        <v>544</v>
      </c>
      <c r="F10" s="156">
        <f t="shared" si="3"/>
        <v>94030</v>
      </c>
      <c r="G10" s="156">
        <f t="shared" si="3"/>
        <v>22600</v>
      </c>
      <c r="H10" s="156">
        <f t="shared" si="3"/>
        <v>0</v>
      </c>
      <c r="I10" s="156">
        <f t="shared" si="3"/>
        <v>7050</v>
      </c>
      <c r="J10" s="156">
        <f t="shared" si="3"/>
        <v>0</v>
      </c>
      <c r="K10" s="156">
        <f t="shared" si="3"/>
        <v>0</v>
      </c>
      <c r="L10" s="156">
        <f t="shared" si="3"/>
        <v>0</v>
      </c>
      <c r="M10" s="156">
        <f t="shared" si="3"/>
        <v>123680</v>
      </c>
      <c r="N10" s="156">
        <f t="shared" si="3"/>
        <v>9</v>
      </c>
      <c r="O10" s="161">
        <f t="shared" si="3"/>
        <v>7</v>
      </c>
      <c r="P10" s="156">
        <f t="shared" si="3"/>
        <v>0</v>
      </c>
      <c r="Q10" s="156">
        <f t="shared" si="3"/>
        <v>0</v>
      </c>
      <c r="R10" s="173">
        <f t="shared" si="3"/>
        <v>0</v>
      </c>
      <c r="S10" s="194">
        <f t="shared" si="3"/>
        <v>0</v>
      </c>
      <c r="T10" s="173">
        <f t="shared" si="3"/>
        <v>0</v>
      </c>
      <c r="U10" s="156">
        <f t="shared" si="3"/>
        <v>0</v>
      </c>
      <c r="V10" s="161">
        <f>IF(SUM(V6:V9)&gt;0,AVERAGEIF(V6:V9,"&lt;&gt;0"),0)</f>
        <v>0</v>
      </c>
      <c r="W10" s="175">
        <f>SUM(W6:W9)</f>
        <v>0</v>
      </c>
      <c r="X10" s="156">
        <f>SUM(X6:X9)</f>
        <v>0</v>
      </c>
      <c r="Y10" s="156">
        <f>SUM(Y6:Y9)</f>
        <v>0</v>
      </c>
      <c r="Z10" s="171">
        <f>SUM(Z6:Z9)</f>
        <v>0</v>
      </c>
      <c r="AA10" s="161">
        <f>IF(SUM(AA6:AA9),AVERAGEIF(AA6:AA9,"&lt;&gt;0"),0)</f>
        <v>0</v>
      </c>
      <c r="AB10" s="194">
        <f>SUM(AB6:AB9)</f>
        <v>0</v>
      </c>
      <c r="AC10" s="156">
        <f>SUM(AC6:AC9)</f>
        <v>0</v>
      </c>
      <c r="AD10" s="156">
        <f>SUM(AD6:AD9)</f>
        <v>0</v>
      </c>
      <c r="AE10" s="161">
        <f>SUM(AE6:AE9)</f>
        <v>0</v>
      </c>
    </row>
    <row r="11" spans="1:31" s="1" customFormat="1" ht="15" customHeight="1" x14ac:dyDescent="0.2">
      <c r="A11" s="30" t="s">
        <v>65</v>
      </c>
      <c r="B11" s="146">
        <v>69</v>
      </c>
      <c r="C11" s="147">
        <v>81</v>
      </c>
      <c r="D11" s="147">
        <v>67</v>
      </c>
      <c r="E11" s="155">
        <f>SUM(B11:D11)</f>
        <v>217</v>
      </c>
      <c r="F11" s="147">
        <v>43950</v>
      </c>
      <c r="G11" s="147">
        <v>1000</v>
      </c>
      <c r="H11" s="147">
        <v>0</v>
      </c>
      <c r="I11" s="147">
        <v>0</v>
      </c>
      <c r="J11" s="147">
        <v>0</v>
      </c>
      <c r="K11" s="147">
        <v>0</v>
      </c>
      <c r="L11" s="147">
        <v>0</v>
      </c>
      <c r="M11" s="163">
        <f>SUM(F11:L11)</f>
        <v>44950</v>
      </c>
      <c r="N11" s="147">
        <v>1</v>
      </c>
      <c r="O11" s="149">
        <v>1</v>
      </c>
      <c r="P11" s="147">
        <v>0</v>
      </c>
      <c r="Q11" s="147">
        <v>0</v>
      </c>
      <c r="R11" s="202">
        <v>0</v>
      </c>
      <c r="S11" s="137">
        <v>0</v>
      </c>
      <c r="T11" s="183">
        <v>0</v>
      </c>
      <c r="U11" s="138">
        <v>0</v>
      </c>
      <c r="V11" s="192">
        <f t="shared" si="0"/>
        <v>0</v>
      </c>
      <c r="W11" s="147">
        <v>0</v>
      </c>
      <c r="X11" s="147">
        <v>0</v>
      </c>
      <c r="Y11" s="147">
        <v>0</v>
      </c>
      <c r="Z11" s="184">
        <v>0</v>
      </c>
      <c r="AA11" s="192" t="str">
        <f t="shared" si="1"/>
        <v>-</v>
      </c>
      <c r="AB11" s="146">
        <v>0</v>
      </c>
      <c r="AC11" s="147">
        <v>0</v>
      </c>
      <c r="AD11" s="147">
        <v>0</v>
      </c>
      <c r="AE11" s="123">
        <f t="shared" si="2"/>
        <v>0</v>
      </c>
    </row>
    <row r="12" spans="1:31" s="1" customFormat="1" ht="15" customHeight="1" x14ac:dyDescent="0.2">
      <c r="A12" s="30" t="s">
        <v>4</v>
      </c>
      <c r="B12" s="146">
        <v>23</v>
      </c>
      <c r="C12" s="148">
        <v>40</v>
      </c>
      <c r="D12" s="147">
        <v>44</v>
      </c>
      <c r="E12" s="155">
        <f>SUM(B12:D12)</f>
        <v>107</v>
      </c>
      <c r="F12" s="147">
        <v>16690</v>
      </c>
      <c r="G12" s="147">
        <v>4500</v>
      </c>
      <c r="H12" s="147">
        <v>0</v>
      </c>
      <c r="I12" s="147">
        <v>0</v>
      </c>
      <c r="J12" s="147">
        <v>0</v>
      </c>
      <c r="K12" s="147">
        <v>0</v>
      </c>
      <c r="L12" s="147">
        <v>0</v>
      </c>
      <c r="M12" s="163">
        <f>SUM(F12:L12)</f>
        <v>21190</v>
      </c>
      <c r="N12" s="147">
        <v>2</v>
      </c>
      <c r="O12" s="149">
        <v>1</v>
      </c>
      <c r="P12" s="147">
        <v>0</v>
      </c>
      <c r="Q12" s="147">
        <v>0</v>
      </c>
      <c r="R12" s="184">
        <v>0</v>
      </c>
      <c r="S12" s="137">
        <v>0</v>
      </c>
      <c r="T12" s="183">
        <v>0</v>
      </c>
      <c r="U12" s="138">
        <v>0</v>
      </c>
      <c r="V12" s="192">
        <f t="shared" si="0"/>
        <v>0</v>
      </c>
      <c r="W12" s="147">
        <v>0</v>
      </c>
      <c r="X12" s="147">
        <v>0</v>
      </c>
      <c r="Y12" s="147">
        <v>0</v>
      </c>
      <c r="Z12" s="184">
        <v>0</v>
      </c>
      <c r="AA12" s="192" t="str">
        <f t="shared" si="1"/>
        <v>-</v>
      </c>
      <c r="AB12" s="146">
        <v>0</v>
      </c>
      <c r="AC12" s="147">
        <v>0</v>
      </c>
      <c r="AD12" s="147">
        <v>0</v>
      </c>
      <c r="AE12" s="123">
        <f t="shared" si="2"/>
        <v>0</v>
      </c>
    </row>
    <row r="13" spans="1:31" s="1" customFormat="1" ht="15" customHeight="1" x14ac:dyDescent="0.2">
      <c r="A13" s="30" t="s">
        <v>3</v>
      </c>
      <c r="B13" s="146">
        <v>22</v>
      </c>
      <c r="C13" s="147">
        <v>23</v>
      </c>
      <c r="D13" s="147">
        <v>34</v>
      </c>
      <c r="E13" s="155">
        <f>SUM(B13:D13)</f>
        <v>79</v>
      </c>
      <c r="F13" s="147">
        <f>14480+1600</f>
        <v>16080</v>
      </c>
      <c r="G13" s="147">
        <v>0</v>
      </c>
      <c r="H13" s="147">
        <v>0</v>
      </c>
      <c r="I13" s="147">
        <v>0</v>
      </c>
      <c r="J13" s="147">
        <v>0</v>
      </c>
      <c r="K13" s="147">
        <v>4600</v>
      </c>
      <c r="L13" s="147">
        <v>0</v>
      </c>
      <c r="M13" s="163">
        <f>SUM(F13:L13)</f>
        <v>20680</v>
      </c>
      <c r="N13" s="147">
        <v>2</v>
      </c>
      <c r="O13" s="149">
        <v>0</v>
      </c>
      <c r="P13" s="147">
        <v>0</v>
      </c>
      <c r="Q13" s="147">
        <v>0</v>
      </c>
      <c r="R13" s="184">
        <v>0</v>
      </c>
      <c r="S13" s="137">
        <v>0</v>
      </c>
      <c r="T13" s="183">
        <v>0</v>
      </c>
      <c r="U13" s="138">
        <v>0</v>
      </c>
      <c r="V13" s="192">
        <f t="shared" si="0"/>
        <v>0</v>
      </c>
      <c r="W13" s="147">
        <v>0</v>
      </c>
      <c r="X13" s="147">
        <v>0</v>
      </c>
      <c r="Y13" s="147">
        <v>0</v>
      </c>
      <c r="Z13" s="184">
        <v>0</v>
      </c>
      <c r="AA13" s="192" t="str">
        <f t="shared" si="1"/>
        <v>-</v>
      </c>
      <c r="AB13" s="146">
        <v>0</v>
      </c>
      <c r="AC13" s="147">
        <v>0</v>
      </c>
      <c r="AD13" s="147">
        <v>0</v>
      </c>
      <c r="AE13" s="123">
        <f t="shared" si="2"/>
        <v>0</v>
      </c>
    </row>
    <row r="14" spans="1:31" s="1" customFormat="1" ht="15" customHeight="1" x14ac:dyDescent="0.2">
      <c r="A14" s="30" t="s">
        <v>107</v>
      </c>
      <c r="B14" s="146">
        <v>3</v>
      </c>
      <c r="C14" s="147">
        <v>4</v>
      </c>
      <c r="D14" s="147">
        <v>9</v>
      </c>
      <c r="E14" s="155">
        <f>SUM(B14:D14)</f>
        <v>16</v>
      </c>
      <c r="F14" s="147">
        <v>1250</v>
      </c>
      <c r="G14" s="147">
        <v>1000</v>
      </c>
      <c r="H14" s="147">
        <v>0</v>
      </c>
      <c r="I14" s="147">
        <v>0</v>
      </c>
      <c r="J14" s="147">
        <v>0</v>
      </c>
      <c r="K14" s="147">
        <v>0</v>
      </c>
      <c r="L14" s="147">
        <v>0</v>
      </c>
      <c r="M14" s="163">
        <f>SUM(F14:L14)</f>
        <v>2250</v>
      </c>
      <c r="N14" s="147">
        <v>0</v>
      </c>
      <c r="O14" s="149">
        <v>0</v>
      </c>
      <c r="P14" s="147">
        <v>0</v>
      </c>
      <c r="Q14" s="147">
        <v>0</v>
      </c>
      <c r="R14" s="184">
        <v>0</v>
      </c>
      <c r="S14" s="137">
        <v>0</v>
      </c>
      <c r="T14" s="183">
        <v>0</v>
      </c>
      <c r="U14" s="138">
        <v>0</v>
      </c>
      <c r="V14" s="192">
        <f t="shared" si="0"/>
        <v>0</v>
      </c>
      <c r="W14" s="147">
        <v>0</v>
      </c>
      <c r="X14" s="147">
        <v>0</v>
      </c>
      <c r="Y14" s="147">
        <v>0</v>
      </c>
      <c r="Z14" s="184">
        <v>0</v>
      </c>
      <c r="AA14" s="192" t="str">
        <f t="shared" si="1"/>
        <v>-</v>
      </c>
      <c r="AB14" s="146">
        <v>0</v>
      </c>
      <c r="AC14" s="147">
        <v>0</v>
      </c>
      <c r="AD14" s="147">
        <v>0</v>
      </c>
      <c r="AE14" s="123">
        <f t="shared" si="2"/>
        <v>0</v>
      </c>
    </row>
    <row r="15" spans="1:31" s="1" customFormat="1" ht="15" customHeight="1" x14ac:dyDescent="0.2">
      <c r="A15" s="236"/>
      <c r="B15" s="170">
        <f t="shared" ref="B15:U15" si="4">SUM(B11:B14)</f>
        <v>117</v>
      </c>
      <c r="C15" s="156">
        <f t="shared" si="4"/>
        <v>148</v>
      </c>
      <c r="D15" s="156">
        <f t="shared" si="4"/>
        <v>154</v>
      </c>
      <c r="E15" s="156">
        <f t="shared" si="4"/>
        <v>419</v>
      </c>
      <c r="F15" s="156">
        <f t="shared" si="4"/>
        <v>77970</v>
      </c>
      <c r="G15" s="156">
        <f t="shared" si="4"/>
        <v>6500</v>
      </c>
      <c r="H15" s="156">
        <f t="shared" si="4"/>
        <v>0</v>
      </c>
      <c r="I15" s="156">
        <f t="shared" si="4"/>
        <v>0</v>
      </c>
      <c r="J15" s="156">
        <f t="shared" si="4"/>
        <v>0</v>
      </c>
      <c r="K15" s="156">
        <f t="shared" si="4"/>
        <v>4600</v>
      </c>
      <c r="L15" s="156">
        <f t="shared" si="4"/>
        <v>0</v>
      </c>
      <c r="M15" s="156">
        <f t="shared" si="4"/>
        <v>89070</v>
      </c>
      <c r="N15" s="156">
        <f t="shared" si="4"/>
        <v>5</v>
      </c>
      <c r="O15" s="161">
        <f t="shared" si="4"/>
        <v>2</v>
      </c>
      <c r="P15" s="156">
        <f t="shared" si="4"/>
        <v>0</v>
      </c>
      <c r="Q15" s="156">
        <f t="shared" si="4"/>
        <v>0</v>
      </c>
      <c r="R15" s="173">
        <f t="shared" si="4"/>
        <v>0</v>
      </c>
      <c r="S15" s="194">
        <f t="shared" si="4"/>
        <v>0</v>
      </c>
      <c r="T15" s="173">
        <f t="shared" si="4"/>
        <v>0</v>
      </c>
      <c r="U15" s="156">
        <f t="shared" si="4"/>
        <v>0</v>
      </c>
      <c r="V15" s="161">
        <f>IF(SUM(V11:V14)&gt;0,AVERAGEIF(V11:V14,"&lt;&gt;0"),0)</f>
        <v>0</v>
      </c>
      <c r="W15" s="156">
        <f>SUM(W11:W14)</f>
        <v>0</v>
      </c>
      <c r="X15" s="156">
        <f>SUM(X11:X14)</f>
        <v>0</v>
      </c>
      <c r="Y15" s="156">
        <f>SUM(Y11:Y14)</f>
        <v>0</v>
      </c>
      <c r="Z15" s="173">
        <f>SUM(Z11:Z14)</f>
        <v>0</v>
      </c>
      <c r="AA15" s="161">
        <f>IF(SUM(AA11:AA14),AVERAGEIF(AA11:AA14,"&lt;&gt;0"),0)</f>
        <v>0</v>
      </c>
      <c r="AB15" s="194">
        <f>SUM(AB11:AB14)</f>
        <v>0</v>
      </c>
      <c r="AC15" s="156">
        <f>SUM(AC11:AC14)</f>
        <v>0</v>
      </c>
      <c r="AD15" s="156">
        <f>SUM(AD11:AD14)</f>
        <v>0</v>
      </c>
      <c r="AE15" s="161">
        <f>SUM(AE11:AE14)</f>
        <v>0</v>
      </c>
    </row>
    <row r="16" spans="1:31" s="1" customFormat="1" ht="15" customHeight="1" x14ac:dyDescent="0.2">
      <c r="A16" s="30" t="s">
        <v>14</v>
      </c>
      <c r="B16" s="146">
        <v>46</v>
      </c>
      <c r="C16" s="147">
        <v>71</v>
      </c>
      <c r="D16" s="147">
        <v>59</v>
      </c>
      <c r="E16" s="155">
        <f>SUM(B16:D16)</f>
        <v>176</v>
      </c>
      <c r="F16" s="147">
        <v>22950</v>
      </c>
      <c r="G16" s="147">
        <v>19000</v>
      </c>
      <c r="H16" s="147">
        <v>0</v>
      </c>
      <c r="I16" s="147">
        <v>0</v>
      </c>
      <c r="J16" s="147">
        <v>0</v>
      </c>
      <c r="K16" s="147">
        <v>2150</v>
      </c>
      <c r="L16" s="147">
        <v>700</v>
      </c>
      <c r="M16" s="163">
        <f>SUM(F16:L16)</f>
        <v>44800</v>
      </c>
      <c r="N16" s="147">
        <v>3</v>
      </c>
      <c r="O16" s="149">
        <v>0</v>
      </c>
      <c r="P16" s="147">
        <v>0</v>
      </c>
      <c r="Q16" s="147">
        <v>0</v>
      </c>
      <c r="R16" s="202">
        <v>0</v>
      </c>
      <c r="S16" s="137">
        <v>0</v>
      </c>
      <c r="T16" s="183">
        <v>0</v>
      </c>
      <c r="U16" s="138">
        <v>0</v>
      </c>
      <c r="V16" s="192">
        <f t="shared" si="0"/>
        <v>0</v>
      </c>
      <c r="W16" s="147">
        <v>0</v>
      </c>
      <c r="X16" s="147">
        <v>0</v>
      </c>
      <c r="Y16" s="147">
        <v>0</v>
      </c>
      <c r="Z16" s="184">
        <v>0</v>
      </c>
      <c r="AA16" s="192" t="str">
        <f t="shared" si="1"/>
        <v>-</v>
      </c>
      <c r="AB16" s="146">
        <v>0</v>
      </c>
      <c r="AC16" s="147">
        <v>0</v>
      </c>
      <c r="AD16" s="147">
        <v>0</v>
      </c>
      <c r="AE16" s="123">
        <f t="shared" si="2"/>
        <v>0</v>
      </c>
    </row>
    <row r="17" spans="1:31" s="1" customFormat="1" ht="15" customHeight="1" x14ac:dyDescent="0.2">
      <c r="A17" s="30" t="s">
        <v>15</v>
      </c>
      <c r="B17" s="146">
        <v>59</v>
      </c>
      <c r="C17" s="147">
        <v>75</v>
      </c>
      <c r="D17" s="147">
        <v>98</v>
      </c>
      <c r="E17" s="155">
        <f>SUM(B17:D17)</f>
        <v>232</v>
      </c>
      <c r="F17" s="147">
        <v>14700</v>
      </c>
      <c r="G17" s="147">
        <v>21300</v>
      </c>
      <c r="H17" s="147">
        <v>0</v>
      </c>
      <c r="I17" s="147">
        <v>0</v>
      </c>
      <c r="J17" s="147">
        <v>0</v>
      </c>
      <c r="K17" s="147">
        <v>0</v>
      </c>
      <c r="L17" s="147">
        <v>5820</v>
      </c>
      <c r="M17" s="163">
        <f>SUM(F17:L17)</f>
        <v>41820</v>
      </c>
      <c r="N17" s="147">
        <v>3</v>
      </c>
      <c r="O17" s="149">
        <v>4</v>
      </c>
      <c r="P17" s="147">
        <v>0</v>
      </c>
      <c r="Q17" s="147">
        <v>0</v>
      </c>
      <c r="R17" s="184">
        <v>0</v>
      </c>
      <c r="S17" s="137">
        <v>0</v>
      </c>
      <c r="T17" s="183">
        <v>0</v>
      </c>
      <c r="U17" s="138">
        <v>0</v>
      </c>
      <c r="V17" s="192">
        <f t="shared" si="0"/>
        <v>0</v>
      </c>
      <c r="W17" s="147">
        <v>0</v>
      </c>
      <c r="X17" s="147">
        <v>0</v>
      </c>
      <c r="Y17" s="147">
        <v>0</v>
      </c>
      <c r="Z17" s="184">
        <v>0</v>
      </c>
      <c r="AA17" s="192" t="str">
        <f t="shared" si="1"/>
        <v>-</v>
      </c>
      <c r="AB17" s="146">
        <v>0</v>
      </c>
      <c r="AC17" s="147">
        <v>0</v>
      </c>
      <c r="AD17" s="147">
        <v>0</v>
      </c>
      <c r="AE17" s="123">
        <f t="shared" si="2"/>
        <v>0</v>
      </c>
    </row>
    <row r="18" spans="1:31" s="1" customFormat="1" ht="15" customHeight="1" x14ac:dyDescent="0.2">
      <c r="A18" s="30" t="s">
        <v>16</v>
      </c>
      <c r="B18" s="146">
        <v>8</v>
      </c>
      <c r="C18" s="147">
        <v>20</v>
      </c>
      <c r="D18" s="147">
        <v>20</v>
      </c>
      <c r="E18" s="155">
        <f>SUM(B18:D18)</f>
        <v>48</v>
      </c>
      <c r="F18" s="147">
        <f>1860+6020</f>
        <v>7880</v>
      </c>
      <c r="G18" s="147">
        <v>0</v>
      </c>
      <c r="H18" s="147">
        <v>0</v>
      </c>
      <c r="I18" s="147">
        <v>1020</v>
      </c>
      <c r="J18" s="147">
        <v>0</v>
      </c>
      <c r="K18" s="147">
        <v>300</v>
      </c>
      <c r="L18" s="147">
        <v>0</v>
      </c>
      <c r="M18" s="163">
        <f>SUM(F18:L18)</f>
        <v>9200</v>
      </c>
      <c r="N18" s="154">
        <v>3</v>
      </c>
      <c r="O18" s="149">
        <v>0</v>
      </c>
      <c r="P18" s="147">
        <v>0</v>
      </c>
      <c r="Q18" s="147">
        <v>0</v>
      </c>
      <c r="R18" s="184">
        <v>0</v>
      </c>
      <c r="S18" s="137">
        <v>0</v>
      </c>
      <c r="T18" s="183">
        <v>0</v>
      </c>
      <c r="U18" s="138">
        <v>0</v>
      </c>
      <c r="V18" s="192">
        <f t="shared" si="0"/>
        <v>0</v>
      </c>
      <c r="W18" s="147">
        <v>0</v>
      </c>
      <c r="X18" s="147">
        <v>0</v>
      </c>
      <c r="Y18" s="147">
        <v>0</v>
      </c>
      <c r="Z18" s="184">
        <v>0</v>
      </c>
      <c r="AA18" s="192" t="str">
        <f t="shared" si="1"/>
        <v>-</v>
      </c>
      <c r="AB18" s="146">
        <v>0</v>
      </c>
      <c r="AC18" s="147">
        <v>0</v>
      </c>
      <c r="AD18" s="147">
        <v>0</v>
      </c>
      <c r="AE18" s="123">
        <f t="shared" si="2"/>
        <v>0</v>
      </c>
    </row>
    <row r="19" spans="1:31" s="1" customFormat="1" ht="15" customHeight="1" x14ac:dyDescent="0.2">
      <c r="A19" s="30" t="s">
        <v>17</v>
      </c>
      <c r="B19" s="146">
        <v>4</v>
      </c>
      <c r="C19" s="147">
        <v>3</v>
      </c>
      <c r="D19" s="147">
        <v>5</v>
      </c>
      <c r="E19" s="155">
        <f>SUM(B19:D19)</f>
        <v>12</v>
      </c>
      <c r="F19" s="147">
        <v>2950</v>
      </c>
      <c r="G19" s="147">
        <v>10000</v>
      </c>
      <c r="H19" s="147">
        <v>0</v>
      </c>
      <c r="I19" s="147">
        <v>0</v>
      </c>
      <c r="J19" s="147">
        <v>0</v>
      </c>
      <c r="K19" s="147">
        <v>0</v>
      </c>
      <c r="L19" s="147">
        <v>0</v>
      </c>
      <c r="M19" s="163">
        <f>SUM(F19:L19)</f>
        <v>12950</v>
      </c>
      <c r="N19" s="147">
        <v>4</v>
      </c>
      <c r="O19" s="149">
        <v>0</v>
      </c>
      <c r="P19" s="147">
        <v>0</v>
      </c>
      <c r="Q19" s="147">
        <v>0</v>
      </c>
      <c r="R19" s="184">
        <v>0</v>
      </c>
      <c r="S19" s="137">
        <v>0</v>
      </c>
      <c r="T19" s="183">
        <v>0</v>
      </c>
      <c r="U19" s="138">
        <v>0</v>
      </c>
      <c r="V19" s="192">
        <f t="shared" si="0"/>
        <v>0</v>
      </c>
      <c r="W19" s="147">
        <v>0</v>
      </c>
      <c r="X19" s="147">
        <v>0</v>
      </c>
      <c r="Y19" s="147">
        <v>0</v>
      </c>
      <c r="Z19" s="184">
        <v>0</v>
      </c>
      <c r="AA19" s="192" t="str">
        <f t="shared" si="1"/>
        <v>-</v>
      </c>
      <c r="AB19" s="146">
        <v>0</v>
      </c>
      <c r="AC19" s="147">
        <v>0</v>
      </c>
      <c r="AD19" s="147">
        <v>0</v>
      </c>
      <c r="AE19" s="123">
        <f t="shared" si="2"/>
        <v>0</v>
      </c>
    </row>
    <row r="20" spans="1:31" s="1" customFormat="1" ht="15" customHeight="1" x14ac:dyDescent="0.2">
      <c r="A20" s="30" t="s">
        <v>18</v>
      </c>
      <c r="B20" s="146">
        <v>15</v>
      </c>
      <c r="C20" s="147">
        <v>37</v>
      </c>
      <c r="D20" s="147">
        <v>57</v>
      </c>
      <c r="E20" s="155">
        <f>SUM(B20:D20)</f>
        <v>109</v>
      </c>
      <c r="F20" s="147">
        <v>10650</v>
      </c>
      <c r="G20" s="147">
        <v>10500</v>
      </c>
      <c r="H20" s="147">
        <v>0</v>
      </c>
      <c r="I20" s="147">
        <v>1250</v>
      </c>
      <c r="J20" s="147">
        <v>0</v>
      </c>
      <c r="K20" s="147">
        <v>3300</v>
      </c>
      <c r="L20" s="147">
        <v>0</v>
      </c>
      <c r="M20" s="163">
        <f>SUM(F20:L20)</f>
        <v>25700</v>
      </c>
      <c r="N20" s="147">
        <v>4</v>
      </c>
      <c r="O20" s="149">
        <v>0</v>
      </c>
      <c r="P20" s="147">
        <v>0</v>
      </c>
      <c r="Q20" s="147">
        <v>0</v>
      </c>
      <c r="R20" s="184">
        <v>0</v>
      </c>
      <c r="S20" s="137">
        <v>0</v>
      </c>
      <c r="T20" s="183">
        <v>0</v>
      </c>
      <c r="U20" s="138">
        <v>0</v>
      </c>
      <c r="V20" s="192">
        <f t="shared" si="0"/>
        <v>0</v>
      </c>
      <c r="W20" s="147">
        <v>0</v>
      </c>
      <c r="X20" s="147">
        <v>0</v>
      </c>
      <c r="Y20" s="147">
        <v>0</v>
      </c>
      <c r="Z20" s="184">
        <v>0</v>
      </c>
      <c r="AA20" s="192" t="str">
        <f t="shared" si="1"/>
        <v>-</v>
      </c>
      <c r="AB20" s="146">
        <v>0</v>
      </c>
      <c r="AC20" s="147">
        <v>0</v>
      </c>
      <c r="AD20" s="147">
        <v>0</v>
      </c>
      <c r="AE20" s="123">
        <f t="shared" si="2"/>
        <v>0</v>
      </c>
    </row>
    <row r="21" spans="1:31" s="1" customFormat="1" ht="15" customHeight="1" x14ac:dyDescent="0.2">
      <c r="A21" s="236"/>
      <c r="B21" s="158">
        <f t="shared" ref="B21:U21" si="5">SUM(B16:B20)</f>
        <v>132</v>
      </c>
      <c r="C21" s="157">
        <f t="shared" si="5"/>
        <v>206</v>
      </c>
      <c r="D21" s="159">
        <f t="shared" si="5"/>
        <v>239</v>
      </c>
      <c r="E21" s="157">
        <f t="shared" si="5"/>
        <v>577</v>
      </c>
      <c r="F21" s="157">
        <f t="shared" si="5"/>
        <v>59130</v>
      </c>
      <c r="G21" s="157">
        <f t="shared" si="5"/>
        <v>60800</v>
      </c>
      <c r="H21" s="157">
        <f t="shared" si="5"/>
        <v>0</v>
      </c>
      <c r="I21" s="157">
        <f t="shared" si="5"/>
        <v>2270</v>
      </c>
      <c r="J21" s="157">
        <f t="shared" si="5"/>
        <v>0</v>
      </c>
      <c r="K21" s="157">
        <f t="shared" si="5"/>
        <v>5750</v>
      </c>
      <c r="L21" s="157">
        <f t="shared" si="5"/>
        <v>6520</v>
      </c>
      <c r="M21" s="157">
        <f t="shared" si="5"/>
        <v>134470</v>
      </c>
      <c r="N21" s="157">
        <f t="shared" si="5"/>
        <v>17</v>
      </c>
      <c r="O21" s="162">
        <f t="shared" si="5"/>
        <v>4</v>
      </c>
      <c r="P21" s="157">
        <f t="shared" si="5"/>
        <v>0</v>
      </c>
      <c r="Q21" s="157">
        <f t="shared" si="5"/>
        <v>0</v>
      </c>
      <c r="R21" s="159">
        <f t="shared" si="5"/>
        <v>0</v>
      </c>
      <c r="S21" s="160">
        <f t="shared" si="5"/>
        <v>0</v>
      </c>
      <c r="T21" s="159">
        <f t="shared" si="5"/>
        <v>0</v>
      </c>
      <c r="U21" s="157">
        <f t="shared" si="5"/>
        <v>0</v>
      </c>
      <c r="V21" s="161">
        <f>IF(SUM(V16:V20)&gt;0,AVERAGEIF(V16:V20,"&lt;&gt;0"),0)</f>
        <v>0</v>
      </c>
      <c r="W21" s="157">
        <f>SUM(W16:W20)</f>
        <v>0</v>
      </c>
      <c r="X21" s="157">
        <f>SUM(X16:X20)</f>
        <v>0</v>
      </c>
      <c r="Y21" s="157">
        <f>SUM(Y16:Y20)</f>
        <v>0</v>
      </c>
      <c r="Z21" s="159">
        <f>SUM(Z16:Z20)</f>
        <v>0</v>
      </c>
      <c r="AA21" s="161">
        <f>IF(SUM(AA16:AA20),AVERAGEIF(AA16:AA20,"&lt;&gt;0"),0)</f>
        <v>0</v>
      </c>
      <c r="AB21" s="160">
        <f>SUM(AB16:AB20)</f>
        <v>0</v>
      </c>
      <c r="AC21" s="157">
        <f>SUM(AC16:AC20)</f>
        <v>0</v>
      </c>
      <c r="AD21" s="157">
        <f>SUM(AD16:AD20)</f>
        <v>0</v>
      </c>
      <c r="AE21" s="162">
        <f>SUM(AE16:AE20)</f>
        <v>0</v>
      </c>
    </row>
    <row r="22" spans="1:31" s="1" customFormat="1" ht="15" customHeight="1" x14ac:dyDescent="0.2">
      <c r="A22" s="30" t="s">
        <v>19</v>
      </c>
      <c r="B22" s="142">
        <v>19</v>
      </c>
      <c r="C22" s="139">
        <v>41</v>
      </c>
      <c r="D22" s="139">
        <v>45</v>
      </c>
      <c r="E22" s="155">
        <f>SUM(B22:D22)</f>
        <v>105</v>
      </c>
      <c r="F22" s="139">
        <v>6450</v>
      </c>
      <c r="G22" s="139">
        <v>11400</v>
      </c>
      <c r="H22" s="147">
        <v>0</v>
      </c>
      <c r="I22" s="139">
        <v>1710</v>
      </c>
      <c r="J22" s="139">
        <v>0</v>
      </c>
      <c r="K22" s="139">
        <v>0</v>
      </c>
      <c r="L22" s="139">
        <v>0</v>
      </c>
      <c r="M22" s="163">
        <f>SUM(F22:L22)</f>
        <v>19560</v>
      </c>
      <c r="N22" s="139">
        <v>0</v>
      </c>
      <c r="O22" s="143">
        <v>0</v>
      </c>
      <c r="P22" s="139">
        <v>0</v>
      </c>
      <c r="Q22" s="139">
        <v>0</v>
      </c>
      <c r="R22" s="185">
        <v>0</v>
      </c>
      <c r="S22" s="137">
        <v>0</v>
      </c>
      <c r="T22" s="183">
        <v>0</v>
      </c>
      <c r="U22" s="138">
        <v>0</v>
      </c>
      <c r="V22" s="192">
        <f t="shared" si="0"/>
        <v>0</v>
      </c>
      <c r="W22" s="139">
        <v>0</v>
      </c>
      <c r="X22" s="139">
        <v>0</v>
      </c>
      <c r="Y22" s="139">
        <v>0</v>
      </c>
      <c r="Z22" s="185">
        <v>0</v>
      </c>
      <c r="AA22" s="192" t="str">
        <f t="shared" si="1"/>
        <v>-</v>
      </c>
      <c r="AB22" s="142">
        <v>0</v>
      </c>
      <c r="AC22" s="139">
        <v>0</v>
      </c>
      <c r="AD22" s="139">
        <v>0</v>
      </c>
      <c r="AE22" s="123">
        <f t="shared" si="2"/>
        <v>0</v>
      </c>
    </row>
    <row r="23" spans="1:31" s="1" customFormat="1" ht="15" customHeight="1" x14ac:dyDescent="0.2">
      <c r="A23" s="30" t="s">
        <v>20</v>
      </c>
      <c r="B23" s="142">
        <v>0</v>
      </c>
      <c r="C23" s="139">
        <v>0</v>
      </c>
      <c r="D23" s="139">
        <v>0</v>
      </c>
      <c r="E23" s="155">
        <f>SUM(B23:D23)</f>
        <v>0</v>
      </c>
      <c r="F23" s="139">
        <v>0</v>
      </c>
      <c r="G23" s="139">
        <v>0</v>
      </c>
      <c r="H23" s="147">
        <v>0</v>
      </c>
      <c r="I23" s="139">
        <v>0</v>
      </c>
      <c r="J23" s="139">
        <v>0</v>
      </c>
      <c r="K23" s="139">
        <v>0</v>
      </c>
      <c r="L23" s="139">
        <v>0</v>
      </c>
      <c r="M23" s="163">
        <f>SUM(F23:L23)</f>
        <v>0</v>
      </c>
      <c r="N23" s="139">
        <v>0</v>
      </c>
      <c r="O23" s="143">
        <v>0</v>
      </c>
      <c r="P23" s="139">
        <v>0</v>
      </c>
      <c r="Q23" s="139">
        <v>0</v>
      </c>
      <c r="R23" s="185">
        <v>0</v>
      </c>
      <c r="S23" s="137">
        <v>0</v>
      </c>
      <c r="T23" s="183">
        <v>0</v>
      </c>
      <c r="U23" s="138">
        <v>0</v>
      </c>
      <c r="V23" s="192">
        <f t="shared" si="0"/>
        <v>0</v>
      </c>
      <c r="W23" s="139">
        <v>0</v>
      </c>
      <c r="X23" s="139">
        <v>0</v>
      </c>
      <c r="Y23" s="139">
        <v>0</v>
      </c>
      <c r="Z23" s="185">
        <v>0</v>
      </c>
      <c r="AA23" s="192" t="str">
        <f t="shared" si="1"/>
        <v>-</v>
      </c>
      <c r="AB23" s="142">
        <v>0</v>
      </c>
      <c r="AC23" s="139">
        <v>0</v>
      </c>
      <c r="AD23" s="139">
        <v>0</v>
      </c>
      <c r="AE23" s="123">
        <f t="shared" si="2"/>
        <v>0</v>
      </c>
    </row>
    <row r="24" spans="1:31" s="1" customFormat="1" ht="15" customHeight="1" x14ac:dyDescent="0.2">
      <c r="A24" s="30" t="s">
        <v>21</v>
      </c>
      <c r="B24" s="142">
        <v>48</v>
      </c>
      <c r="C24" s="139">
        <v>75</v>
      </c>
      <c r="D24" s="139">
        <v>72</v>
      </c>
      <c r="E24" s="155">
        <f>SUM(B24:D24)</f>
        <v>195</v>
      </c>
      <c r="F24" s="139">
        <v>17950</v>
      </c>
      <c r="G24" s="139">
        <v>19785</v>
      </c>
      <c r="H24" s="147">
        <v>0</v>
      </c>
      <c r="I24" s="139">
        <v>15450</v>
      </c>
      <c r="J24" s="139">
        <v>0</v>
      </c>
      <c r="K24" s="139">
        <v>0</v>
      </c>
      <c r="L24" s="139">
        <v>0</v>
      </c>
      <c r="M24" s="163">
        <f>SUM(F24:L24)</f>
        <v>53185</v>
      </c>
      <c r="N24" s="139">
        <v>0</v>
      </c>
      <c r="O24" s="143">
        <v>0</v>
      </c>
      <c r="P24" s="139">
        <v>0</v>
      </c>
      <c r="Q24" s="139">
        <v>0</v>
      </c>
      <c r="R24" s="185">
        <v>0</v>
      </c>
      <c r="S24" s="137">
        <v>0</v>
      </c>
      <c r="T24" s="183">
        <v>0</v>
      </c>
      <c r="U24" s="138">
        <v>0</v>
      </c>
      <c r="V24" s="192">
        <f t="shared" si="0"/>
        <v>0</v>
      </c>
      <c r="W24" s="139">
        <v>0</v>
      </c>
      <c r="X24" s="139">
        <v>0</v>
      </c>
      <c r="Y24" s="139">
        <v>0</v>
      </c>
      <c r="Z24" s="185">
        <v>0</v>
      </c>
      <c r="AA24" s="192" t="str">
        <f t="shared" si="1"/>
        <v>-</v>
      </c>
      <c r="AB24" s="142">
        <v>0</v>
      </c>
      <c r="AC24" s="139">
        <v>0</v>
      </c>
      <c r="AD24" s="139">
        <v>0</v>
      </c>
      <c r="AE24" s="123">
        <f t="shared" si="2"/>
        <v>0</v>
      </c>
    </row>
    <row r="25" spans="1:31" s="1" customFormat="1" ht="15" customHeight="1" x14ac:dyDescent="0.2">
      <c r="A25" s="30" t="s">
        <v>109</v>
      </c>
      <c r="B25" s="142">
        <v>12</v>
      </c>
      <c r="C25" s="139" t="s">
        <v>185</v>
      </c>
      <c r="D25" s="139">
        <v>6</v>
      </c>
      <c r="E25" s="155">
        <f>SUM(B25:D25)</f>
        <v>18</v>
      </c>
      <c r="F25" s="139">
        <v>2620</v>
      </c>
      <c r="G25" s="139">
        <v>8300</v>
      </c>
      <c r="H25" s="147">
        <v>0</v>
      </c>
      <c r="I25" s="139">
        <v>0</v>
      </c>
      <c r="J25" s="139">
        <v>0</v>
      </c>
      <c r="K25" s="139">
        <v>0</v>
      </c>
      <c r="L25" s="139">
        <v>0</v>
      </c>
      <c r="M25" s="163">
        <f>SUM(F25:L25)</f>
        <v>10920</v>
      </c>
      <c r="N25" s="139">
        <v>0</v>
      </c>
      <c r="O25" s="143">
        <v>0</v>
      </c>
      <c r="P25" s="139">
        <v>0</v>
      </c>
      <c r="Q25" s="139">
        <v>0</v>
      </c>
      <c r="R25" s="185">
        <v>0</v>
      </c>
      <c r="S25" s="137">
        <v>0</v>
      </c>
      <c r="T25" s="183">
        <v>0</v>
      </c>
      <c r="U25" s="138">
        <v>0</v>
      </c>
      <c r="V25" s="192">
        <f t="shared" si="0"/>
        <v>0</v>
      </c>
      <c r="W25" s="139">
        <v>0</v>
      </c>
      <c r="X25" s="139">
        <v>0</v>
      </c>
      <c r="Y25" s="139">
        <v>0</v>
      </c>
      <c r="Z25" s="185">
        <v>0</v>
      </c>
      <c r="AA25" s="192" t="str">
        <f t="shared" si="1"/>
        <v>-</v>
      </c>
      <c r="AB25" s="142">
        <v>0</v>
      </c>
      <c r="AC25" s="139">
        <v>0</v>
      </c>
      <c r="AD25" s="139">
        <v>0</v>
      </c>
      <c r="AE25" s="123">
        <f t="shared" si="2"/>
        <v>0</v>
      </c>
    </row>
    <row r="26" spans="1:31" s="1" customFormat="1" ht="15" customHeight="1" x14ac:dyDescent="0.2">
      <c r="A26" s="236"/>
      <c r="B26" s="160">
        <f t="shared" ref="B26:U26" si="6">SUM(B22:B25)</f>
        <v>79</v>
      </c>
      <c r="C26" s="157">
        <f t="shared" si="6"/>
        <v>116</v>
      </c>
      <c r="D26" s="157">
        <f t="shared" si="6"/>
        <v>123</v>
      </c>
      <c r="E26" s="157">
        <f t="shared" si="6"/>
        <v>318</v>
      </c>
      <c r="F26" s="157">
        <f t="shared" si="6"/>
        <v>27020</v>
      </c>
      <c r="G26" s="157">
        <f t="shared" si="6"/>
        <v>39485</v>
      </c>
      <c r="H26" s="157">
        <f t="shared" si="6"/>
        <v>0</v>
      </c>
      <c r="I26" s="157">
        <f t="shared" si="6"/>
        <v>17160</v>
      </c>
      <c r="J26" s="157">
        <f t="shared" si="6"/>
        <v>0</v>
      </c>
      <c r="K26" s="157">
        <f t="shared" si="6"/>
        <v>0</v>
      </c>
      <c r="L26" s="157">
        <f t="shared" si="6"/>
        <v>0</v>
      </c>
      <c r="M26" s="157">
        <f t="shared" si="6"/>
        <v>83665</v>
      </c>
      <c r="N26" s="157">
        <f t="shared" si="6"/>
        <v>0</v>
      </c>
      <c r="O26" s="162">
        <f t="shared" si="6"/>
        <v>0</v>
      </c>
      <c r="P26" s="157">
        <f t="shared" si="6"/>
        <v>0</v>
      </c>
      <c r="Q26" s="157">
        <f t="shared" si="6"/>
        <v>0</v>
      </c>
      <c r="R26" s="159">
        <f t="shared" si="6"/>
        <v>0</v>
      </c>
      <c r="S26" s="160">
        <f t="shared" si="6"/>
        <v>0</v>
      </c>
      <c r="T26" s="159">
        <f t="shared" si="6"/>
        <v>0</v>
      </c>
      <c r="U26" s="157">
        <f t="shared" si="6"/>
        <v>0</v>
      </c>
      <c r="V26" s="161">
        <f>IF(SUM(V22:V25)&gt;0,AVERAGEIF(V22:V25,"&lt;&gt;0"),0)</f>
        <v>0</v>
      </c>
      <c r="W26" s="157">
        <f>SUM(W22:W25)</f>
        <v>0</v>
      </c>
      <c r="X26" s="157">
        <f>SUM(X22:X25)</f>
        <v>0</v>
      </c>
      <c r="Y26" s="157">
        <f>SUM(Y22:Y25)</f>
        <v>0</v>
      </c>
      <c r="Z26" s="159">
        <f>SUM(Z22:Z25)</f>
        <v>0</v>
      </c>
      <c r="AA26" s="161">
        <f>IF(SUM(AA22:AA25),AVERAGEIF(AA22:AA25,"&lt;&gt;0"),0)</f>
        <v>0</v>
      </c>
      <c r="AB26" s="160">
        <f>SUM(AB22:AB25)</f>
        <v>0</v>
      </c>
      <c r="AC26" s="157">
        <f>SUM(AC22:AC25)</f>
        <v>0</v>
      </c>
      <c r="AD26" s="157">
        <f>SUM(AD22:AD25)</f>
        <v>0</v>
      </c>
      <c r="AE26" s="162">
        <f>SUM(AE22:AE25)</f>
        <v>0</v>
      </c>
    </row>
    <row r="27" spans="1:31" s="1" customFormat="1" ht="15" customHeight="1" x14ac:dyDescent="0.2">
      <c r="A27" s="30" t="s">
        <v>108</v>
      </c>
      <c r="B27" s="137">
        <v>28</v>
      </c>
      <c r="C27" s="138">
        <v>28</v>
      </c>
      <c r="D27" s="138">
        <v>36</v>
      </c>
      <c r="E27" s="155">
        <f t="shared" ref="E27:E35" si="7">SUM(B27:D27)</f>
        <v>92</v>
      </c>
      <c r="F27" s="139">
        <v>9030</v>
      </c>
      <c r="G27" s="139">
        <v>6800</v>
      </c>
      <c r="H27" s="147">
        <v>0</v>
      </c>
      <c r="I27" s="139">
        <v>200</v>
      </c>
      <c r="J27" s="139">
        <v>0</v>
      </c>
      <c r="K27" s="139">
        <v>2440</v>
      </c>
      <c r="L27" s="139">
        <v>0</v>
      </c>
      <c r="M27" s="163">
        <f t="shared" ref="M27:M35" si="8">SUM(F27:L27)</f>
        <v>18470</v>
      </c>
      <c r="N27" s="138">
        <v>0</v>
      </c>
      <c r="O27" s="140">
        <v>0</v>
      </c>
      <c r="P27" s="138">
        <v>0</v>
      </c>
      <c r="Q27" s="138">
        <v>0</v>
      </c>
      <c r="R27" s="183">
        <v>0</v>
      </c>
      <c r="S27" s="137">
        <v>0</v>
      </c>
      <c r="T27" s="183">
        <v>0</v>
      </c>
      <c r="U27" s="138">
        <v>0</v>
      </c>
      <c r="V27" s="192">
        <f t="shared" si="0"/>
        <v>0</v>
      </c>
      <c r="W27" s="138">
        <v>0</v>
      </c>
      <c r="X27" s="138">
        <v>0</v>
      </c>
      <c r="Y27" s="138">
        <v>0</v>
      </c>
      <c r="Z27" s="183">
        <v>0</v>
      </c>
      <c r="AA27" s="192" t="str">
        <f t="shared" si="1"/>
        <v>-</v>
      </c>
      <c r="AB27" s="142">
        <v>0</v>
      </c>
      <c r="AC27" s="139">
        <v>0</v>
      </c>
      <c r="AD27" s="139">
        <v>0</v>
      </c>
      <c r="AE27" s="123">
        <f t="shared" si="2"/>
        <v>0</v>
      </c>
    </row>
    <row r="28" spans="1:31" s="1" customFormat="1" ht="15" customHeight="1" x14ac:dyDescent="0.2">
      <c r="A28" s="30" t="s">
        <v>22</v>
      </c>
      <c r="B28" s="146">
        <v>2</v>
      </c>
      <c r="C28" s="147">
        <v>14</v>
      </c>
      <c r="D28" s="147">
        <v>17</v>
      </c>
      <c r="E28" s="155">
        <f t="shared" si="7"/>
        <v>33</v>
      </c>
      <c r="F28" s="147">
        <v>1620</v>
      </c>
      <c r="G28" s="147">
        <v>3020</v>
      </c>
      <c r="H28" s="147">
        <v>0</v>
      </c>
      <c r="I28" s="147">
        <v>0</v>
      </c>
      <c r="J28" s="147">
        <v>0</v>
      </c>
      <c r="K28" s="147">
        <v>0</v>
      </c>
      <c r="L28" s="147">
        <v>0</v>
      </c>
      <c r="M28" s="163">
        <f t="shared" si="8"/>
        <v>4640</v>
      </c>
      <c r="N28" s="147">
        <v>3</v>
      </c>
      <c r="O28" s="149">
        <v>0</v>
      </c>
      <c r="P28" s="147">
        <v>0</v>
      </c>
      <c r="Q28" s="147">
        <v>0</v>
      </c>
      <c r="R28" s="184">
        <v>0</v>
      </c>
      <c r="S28" s="137">
        <v>0</v>
      </c>
      <c r="T28" s="183">
        <v>0</v>
      </c>
      <c r="U28" s="138">
        <v>0</v>
      </c>
      <c r="V28" s="192">
        <f t="shared" si="0"/>
        <v>0</v>
      </c>
      <c r="W28" s="147">
        <v>0</v>
      </c>
      <c r="X28" s="147">
        <v>0</v>
      </c>
      <c r="Y28" s="147">
        <v>0</v>
      </c>
      <c r="Z28" s="184">
        <v>0</v>
      </c>
      <c r="AA28" s="192" t="str">
        <f t="shared" si="1"/>
        <v>-</v>
      </c>
      <c r="AB28" s="146">
        <v>0</v>
      </c>
      <c r="AC28" s="147">
        <v>0</v>
      </c>
      <c r="AD28" s="147">
        <v>0</v>
      </c>
      <c r="AE28" s="123">
        <f t="shared" si="2"/>
        <v>0</v>
      </c>
    </row>
    <row r="29" spans="1:31" s="1" customFormat="1" ht="15" customHeight="1" x14ac:dyDescent="0.2">
      <c r="A29" s="30" t="s">
        <v>23</v>
      </c>
      <c r="B29" s="146">
        <v>33</v>
      </c>
      <c r="C29" s="147">
        <v>41</v>
      </c>
      <c r="D29" s="147">
        <v>46</v>
      </c>
      <c r="E29" s="155">
        <f t="shared" si="7"/>
        <v>120</v>
      </c>
      <c r="F29" s="147">
        <v>12600</v>
      </c>
      <c r="G29" s="147">
        <v>3000</v>
      </c>
      <c r="H29" s="147">
        <v>0</v>
      </c>
      <c r="I29" s="147">
        <v>3600</v>
      </c>
      <c r="J29" s="147">
        <v>0</v>
      </c>
      <c r="K29" s="147">
        <v>1650</v>
      </c>
      <c r="L29" s="147">
        <v>0</v>
      </c>
      <c r="M29" s="163">
        <f t="shared" si="8"/>
        <v>20850</v>
      </c>
      <c r="N29" s="147">
        <v>1</v>
      </c>
      <c r="O29" s="149">
        <v>1</v>
      </c>
      <c r="P29" s="147">
        <v>0</v>
      </c>
      <c r="Q29" s="147">
        <v>0</v>
      </c>
      <c r="R29" s="184">
        <v>0</v>
      </c>
      <c r="S29" s="137">
        <v>0</v>
      </c>
      <c r="T29" s="183">
        <v>0</v>
      </c>
      <c r="U29" s="138">
        <v>0</v>
      </c>
      <c r="V29" s="192">
        <f t="shared" si="0"/>
        <v>0</v>
      </c>
      <c r="W29" s="147">
        <v>0</v>
      </c>
      <c r="X29" s="147">
        <v>0</v>
      </c>
      <c r="Y29" s="147">
        <v>0</v>
      </c>
      <c r="Z29" s="184">
        <v>0</v>
      </c>
      <c r="AA29" s="192" t="str">
        <f t="shared" si="1"/>
        <v>-</v>
      </c>
      <c r="AB29" s="146">
        <v>0</v>
      </c>
      <c r="AC29" s="147">
        <v>0</v>
      </c>
      <c r="AD29" s="147">
        <v>0</v>
      </c>
      <c r="AE29" s="123">
        <f t="shared" si="2"/>
        <v>0</v>
      </c>
    </row>
    <row r="30" spans="1:31" s="1" customFormat="1" ht="15" customHeight="1" x14ac:dyDescent="0.2">
      <c r="A30" s="30" t="s">
        <v>24</v>
      </c>
      <c r="B30" s="146">
        <v>10</v>
      </c>
      <c r="C30" s="147">
        <v>20</v>
      </c>
      <c r="D30" s="147">
        <v>40</v>
      </c>
      <c r="E30" s="155">
        <f t="shared" si="7"/>
        <v>70</v>
      </c>
      <c r="F30" s="150">
        <v>4500</v>
      </c>
      <c r="G30" s="150">
        <v>4100</v>
      </c>
      <c r="H30" s="147"/>
      <c r="I30" s="150">
        <v>810</v>
      </c>
      <c r="J30" s="150">
        <v>0</v>
      </c>
      <c r="K30" s="150">
        <v>0</v>
      </c>
      <c r="L30" s="150">
        <v>0</v>
      </c>
      <c r="M30" s="163">
        <f t="shared" si="8"/>
        <v>9410</v>
      </c>
      <c r="N30" s="147">
        <v>4</v>
      </c>
      <c r="O30" s="149">
        <v>0</v>
      </c>
      <c r="P30" s="147">
        <v>0</v>
      </c>
      <c r="Q30" s="147">
        <v>0</v>
      </c>
      <c r="R30" s="184">
        <v>0</v>
      </c>
      <c r="S30" s="137">
        <v>0</v>
      </c>
      <c r="T30" s="183">
        <v>0</v>
      </c>
      <c r="U30" s="138">
        <v>0</v>
      </c>
      <c r="V30" s="192">
        <f t="shared" si="0"/>
        <v>0</v>
      </c>
      <c r="W30" s="147">
        <v>0</v>
      </c>
      <c r="X30" s="147">
        <v>0</v>
      </c>
      <c r="Y30" s="147">
        <v>0</v>
      </c>
      <c r="Z30" s="184">
        <v>0</v>
      </c>
      <c r="AA30" s="192" t="str">
        <f t="shared" si="1"/>
        <v>-</v>
      </c>
      <c r="AB30" s="125">
        <v>0</v>
      </c>
      <c r="AC30" s="150">
        <v>0</v>
      </c>
      <c r="AD30" s="150">
        <v>0</v>
      </c>
      <c r="AE30" s="123">
        <f t="shared" si="2"/>
        <v>0</v>
      </c>
    </row>
    <row r="31" spans="1:31" s="1" customFormat="1" ht="14.25" customHeight="1" x14ac:dyDescent="0.2">
      <c r="A31" s="30" t="s">
        <v>106</v>
      </c>
      <c r="B31" s="146">
        <v>7</v>
      </c>
      <c r="C31" s="147">
        <v>13</v>
      </c>
      <c r="D31" s="147">
        <v>24</v>
      </c>
      <c r="E31" s="155">
        <f t="shared" si="7"/>
        <v>44</v>
      </c>
      <c r="F31" s="147">
        <v>2480</v>
      </c>
      <c r="G31" s="147">
        <v>400</v>
      </c>
      <c r="H31" s="147">
        <v>0</v>
      </c>
      <c r="I31" s="147">
        <v>520</v>
      </c>
      <c r="J31" s="147">
        <v>0</v>
      </c>
      <c r="K31" s="147">
        <v>0</v>
      </c>
      <c r="L31" s="147">
        <v>0</v>
      </c>
      <c r="M31" s="163">
        <f t="shared" si="8"/>
        <v>3400</v>
      </c>
      <c r="N31" s="147">
        <v>3</v>
      </c>
      <c r="O31" s="149">
        <v>2</v>
      </c>
      <c r="P31" s="147">
        <v>0</v>
      </c>
      <c r="Q31" s="147">
        <v>0</v>
      </c>
      <c r="R31" s="184">
        <v>0</v>
      </c>
      <c r="S31" s="137">
        <v>0</v>
      </c>
      <c r="T31" s="183">
        <v>0</v>
      </c>
      <c r="U31" s="138">
        <v>0</v>
      </c>
      <c r="V31" s="192">
        <f t="shared" si="0"/>
        <v>0</v>
      </c>
      <c r="W31" s="147">
        <v>0</v>
      </c>
      <c r="X31" s="147">
        <v>0</v>
      </c>
      <c r="Y31" s="147">
        <v>0</v>
      </c>
      <c r="Z31" s="184">
        <v>0</v>
      </c>
      <c r="AA31" s="192" t="str">
        <f t="shared" si="1"/>
        <v>-</v>
      </c>
      <c r="AB31" s="146">
        <v>0</v>
      </c>
      <c r="AC31" s="147">
        <v>0</v>
      </c>
      <c r="AD31" s="147">
        <v>0</v>
      </c>
      <c r="AE31" s="123">
        <f t="shared" si="2"/>
        <v>0</v>
      </c>
    </row>
    <row r="32" spans="1:31" s="1" customFormat="1" ht="14.25" customHeight="1" x14ac:dyDescent="0.2">
      <c r="A32" s="30" t="s">
        <v>25</v>
      </c>
      <c r="B32" s="146">
        <v>43</v>
      </c>
      <c r="C32" s="147">
        <v>15</v>
      </c>
      <c r="D32" s="147">
        <v>9</v>
      </c>
      <c r="E32" s="155">
        <f t="shared" si="7"/>
        <v>67</v>
      </c>
      <c r="F32" s="147">
        <v>3800</v>
      </c>
      <c r="G32" s="147">
        <v>4600</v>
      </c>
      <c r="H32" s="147">
        <v>0</v>
      </c>
      <c r="I32" s="147">
        <v>0</v>
      </c>
      <c r="J32" s="147">
        <v>0</v>
      </c>
      <c r="K32" s="147">
        <v>0</v>
      </c>
      <c r="L32" s="147">
        <v>0</v>
      </c>
      <c r="M32" s="163">
        <f t="shared" si="8"/>
        <v>8400</v>
      </c>
      <c r="N32" s="147">
        <v>0</v>
      </c>
      <c r="O32" s="149">
        <v>0</v>
      </c>
      <c r="P32" s="147">
        <v>0</v>
      </c>
      <c r="Q32" s="147">
        <v>0</v>
      </c>
      <c r="R32" s="184">
        <v>0</v>
      </c>
      <c r="S32" s="137">
        <v>0</v>
      </c>
      <c r="T32" s="183">
        <v>0</v>
      </c>
      <c r="U32" s="138">
        <v>0</v>
      </c>
      <c r="V32" s="192">
        <f t="shared" si="0"/>
        <v>0</v>
      </c>
      <c r="W32" s="147">
        <v>0</v>
      </c>
      <c r="X32" s="147">
        <v>0</v>
      </c>
      <c r="Y32" s="147">
        <v>0</v>
      </c>
      <c r="Z32" s="184">
        <v>0</v>
      </c>
      <c r="AA32" s="192" t="str">
        <f t="shared" si="1"/>
        <v>-</v>
      </c>
      <c r="AB32" s="146">
        <v>0</v>
      </c>
      <c r="AC32" s="147">
        <v>0</v>
      </c>
      <c r="AD32" s="147">
        <v>0</v>
      </c>
      <c r="AE32" s="123">
        <f t="shared" si="2"/>
        <v>0</v>
      </c>
    </row>
    <row r="33" spans="1:31" s="1" customFormat="1" ht="14.25" customHeight="1" x14ac:dyDescent="0.2">
      <c r="A33" s="30" t="s">
        <v>26</v>
      </c>
      <c r="B33" s="146">
        <v>24</v>
      </c>
      <c r="C33" s="147">
        <v>28</v>
      </c>
      <c r="D33" s="147">
        <v>25</v>
      </c>
      <c r="E33" s="155">
        <f t="shared" si="7"/>
        <v>77</v>
      </c>
      <c r="F33" s="147">
        <v>12000</v>
      </c>
      <c r="G33" s="147">
        <v>3700</v>
      </c>
      <c r="H33" s="147">
        <v>0</v>
      </c>
      <c r="I33" s="147">
        <v>2050</v>
      </c>
      <c r="J33" s="147">
        <v>0</v>
      </c>
      <c r="K33" s="147">
        <v>0</v>
      </c>
      <c r="L33" s="147">
        <v>0</v>
      </c>
      <c r="M33" s="163">
        <f t="shared" si="8"/>
        <v>17750</v>
      </c>
      <c r="N33" s="147">
        <v>3</v>
      </c>
      <c r="O33" s="149">
        <v>3</v>
      </c>
      <c r="P33" s="147">
        <v>0</v>
      </c>
      <c r="Q33" s="147">
        <v>0</v>
      </c>
      <c r="R33" s="184">
        <v>0</v>
      </c>
      <c r="S33" s="137">
        <v>0</v>
      </c>
      <c r="T33" s="183">
        <v>0</v>
      </c>
      <c r="U33" s="138">
        <v>0</v>
      </c>
      <c r="V33" s="192">
        <f t="shared" si="0"/>
        <v>0</v>
      </c>
      <c r="W33" s="147">
        <v>0</v>
      </c>
      <c r="X33" s="147">
        <v>0</v>
      </c>
      <c r="Y33" s="147">
        <v>0</v>
      </c>
      <c r="Z33" s="184">
        <v>0</v>
      </c>
      <c r="AA33" s="192" t="str">
        <f t="shared" si="1"/>
        <v>-</v>
      </c>
      <c r="AB33" s="146">
        <v>0</v>
      </c>
      <c r="AC33" s="147">
        <v>0</v>
      </c>
      <c r="AD33" s="147">
        <v>0</v>
      </c>
      <c r="AE33" s="123">
        <f t="shared" si="2"/>
        <v>0</v>
      </c>
    </row>
    <row r="34" spans="1:31" s="1" customFormat="1" ht="14.25" customHeight="1" x14ac:dyDescent="0.2">
      <c r="A34" s="30" t="s">
        <v>58</v>
      </c>
      <c r="B34" s="137">
        <v>11</v>
      </c>
      <c r="C34" s="138">
        <v>12</v>
      </c>
      <c r="D34" s="138">
        <v>16</v>
      </c>
      <c r="E34" s="155">
        <f t="shared" si="7"/>
        <v>39</v>
      </c>
      <c r="F34" s="138">
        <v>6660</v>
      </c>
      <c r="G34" s="138">
        <v>1300</v>
      </c>
      <c r="H34" s="147">
        <v>0</v>
      </c>
      <c r="I34" s="138">
        <v>0</v>
      </c>
      <c r="J34" s="138">
        <v>0</v>
      </c>
      <c r="K34" s="138">
        <v>0</v>
      </c>
      <c r="L34" s="138">
        <v>0</v>
      </c>
      <c r="M34" s="163">
        <f t="shared" si="8"/>
        <v>7960</v>
      </c>
      <c r="N34" s="138">
        <v>7</v>
      </c>
      <c r="O34" s="140">
        <v>0</v>
      </c>
      <c r="P34" s="138">
        <v>0</v>
      </c>
      <c r="Q34" s="138">
        <v>0</v>
      </c>
      <c r="R34" s="183">
        <v>0</v>
      </c>
      <c r="S34" s="137">
        <v>0</v>
      </c>
      <c r="T34" s="183">
        <v>0</v>
      </c>
      <c r="U34" s="138">
        <v>0</v>
      </c>
      <c r="V34" s="192">
        <f t="shared" si="0"/>
        <v>0</v>
      </c>
      <c r="W34" s="138">
        <v>0</v>
      </c>
      <c r="X34" s="138">
        <v>0</v>
      </c>
      <c r="Y34" s="138">
        <v>0</v>
      </c>
      <c r="Z34" s="183">
        <v>0</v>
      </c>
      <c r="AA34" s="192" t="str">
        <f t="shared" si="1"/>
        <v>-</v>
      </c>
      <c r="AB34" s="137">
        <v>0</v>
      </c>
      <c r="AC34" s="138">
        <v>0</v>
      </c>
      <c r="AD34" s="138">
        <v>0</v>
      </c>
      <c r="AE34" s="123">
        <f t="shared" si="2"/>
        <v>0</v>
      </c>
    </row>
    <row r="35" spans="1:31" s="1" customFormat="1" ht="14.25" customHeight="1" x14ac:dyDescent="0.2">
      <c r="A35" s="30" t="s">
        <v>36</v>
      </c>
      <c r="B35" s="137">
        <v>0</v>
      </c>
      <c r="C35" s="138">
        <v>0</v>
      </c>
      <c r="D35" s="138">
        <v>0</v>
      </c>
      <c r="E35" s="155">
        <f t="shared" si="7"/>
        <v>0</v>
      </c>
      <c r="F35" s="138">
        <v>0</v>
      </c>
      <c r="G35" s="138">
        <v>0</v>
      </c>
      <c r="H35" s="147">
        <v>0</v>
      </c>
      <c r="I35" s="138">
        <v>0</v>
      </c>
      <c r="J35" s="138">
        <v>0</v>
      </c>
      <c r="K35" s="138">
        <v>0</v>
      </c>
      <c r="L35" s="138">
        <v>0</v>
      </c>
      <c r="M35" s="163">
        <f t="shared" si="8"/>
        <v>0</v>
      </c>
      <c r="N35" s="138">
        <v>0</v>
      </c>
      <c r="O35" s="140">
        <v>0</v>
      </c>
      <c r="P35" s="138">
        <v>0</v>
      </c>
      <c r="Q35" s="138">
        <v>0</v>
      </c>
      <c r="R35" s="183">
        <v>0</v>
      </c>
      <c r="S35" s="137">
        <v>0</v>
      </c>
      <c r="T35" s="183">
        <v>0</v>
      </c>
      <c r="U35" s="138">
        <v>0</v>
      </c>
      <c r="V35" s="192">
        <f t="shared" si="0"/>
        <v>0</v>
      </c>
      <c r="W35" s="138">
        <v>0</v>
      </c>
      <c r="X35" s="138">
        <v>0</v>
      </c>
      <c r="Y35" s="138">
        <v>0</v>
      </c>
      <c r="Z35" s="183">
        <v>0</v>
      </c>
      <c r="AA35" s="192" t="str">
        <f t="shared" si="1"/>
        <v>-</v>
      </c>
      <c r="AB35" s="137">
        <v>0</v>
      </c>
      <c r="AC35" s="138">
        <v>0</v>
      </c>
      <c r="AD35" s="138">
        <v>0</v>
      </c>
      <c r="AE35" s="123">
        <f t="shared" si="2"/>
        <v>0</v>
      </c>
    </row>
    <row r="36" spans="1:31" s="1" customFormat="1" ht="14.25" customHeight="1" x14ac:dyDescent="0.2">
      <c r="A36" s="236"/>
      <c r="B36" s="166">
        <f t="shared" ref="B36:U36" si="9">SUM(B27:B35)</f>
        <v>158</v>
      </c>
      <c r="C36" s="155">
        <f t="shared" si="9"/>
        <v>171</v>
      </c>
      <c r="D36" s="155">
        <f t="shared" si="9"/>
        <v>213</v>
      </c>
      <c r="E36" s="155">
        <f t="shared" si="9"/>
        <v>542</v>
      </c>
      <c r="F36" s="155">
        <f t="shared" si="9"/>
        <v>52690</v>
      </c>
      <c r="G36" s="155">
        <f t="shared" si="9"/>
        <v>26920</v>
      </c>
      <c r="H36" s="155">
        <f t="shared" si="9"/>
        <v>0</v>
      </c>
      <c r="I36" s="155">
        <f t="shared" si="9"/>
        <v>7180</v>
      </c>
      <c r="J36" s="155">
        <f t="shared" si="9"/>
        <v>0</v>
      </c>
      <c r="K36" s="155">
        <f t="shared" si="9"/>
        <v>4090</v>
      </c>
      <c r="L36" s="155">
        <f t="shared" si="9"/>
        <v>0</v>
      </c>
      <c r="M36" s="155">
        <f t="shared" si="9"/>
        <v>90880</v>
      </c>
      <c r="N36" s="155">
        <f t="shared" si="9"/>
        <v>21</v>
      </c>
      <c r="O36" s="167">
        <f t="shared" si="9"/>
        <v>6</v>
      </c>
      <c r="P36" s="155">
        <f t="shared" si="9"/>
        <v>0</v>
      </c>
      <c r="Q36" s="155">
        <f t="shared" si="9"/>
        <v>0</v>
      </c>
      <c r="R36" s="186">
        <f t="shared" si="9"/>
        <v>0</v>
      </c>
      <c r="S36" s="166">
        <f t="shared" si="9"/>
        <v>0</v>
      </c>
      <c r="T36" s="186">
        <f t="shared" si="9"/>
        <v>0</v>
      </c>
      <c r="U36" s="155">
        <f t="shared" si="9"/>
        <v>0</v>
      </c>
      <c r="V36" s="161">
        <f>IF(SUM(V27:V35)&gt;0,AVERAGEIF(V27:V35,"&lt;&gt;0"),0)</f>
        <v>0</v>
      </c>
      <c r="W36" s="155">
        <f>SUM(W27:W35)</f>
        <v>0</v>
      </c>
      <c r="X36" s="155">
        <f>SUM(X27:X35)</f>
        <v>0</v>
      </c>
      <c r="Y36" s="155">
        <f>SUM(Y27:Y35)</f>
        <v>0</v>
      </c>
      <c r="Z36" s="186">
        <f>SUM(Z27:Z35)</f>
        <v>0</v>
      </c>
      <c r="AA36" s="161">
        <f>IF(SUM(AA27:AA35),AVERAGEIF(AA27:AA35,"&lt;&gt;0"),0)</f>
        <v>0</v>
      </c>
      <c r="AB36" s="166">
        <f>SUM(AB27:AB35)</f>
        <v>0</v>
      </c>
      <c r="AC36" s="155">
        <f>SUM(AC27:AC35)</f>
        <v>0</v>
      </c>
      <c r="AD36" s="155">
        <f>SUM(AD27:AD35)</f>
        <v>0</v>
      </c>
      <c r="AE36" s="167">
        <f>SUM(AE27:AE35)</f>
        <v>0</v>
      </c>
    </row>
    <row r="37" spans="1:31" s="1" customFormat="1" ht="14.25" customHeight="1" x14ac:dyDescent="0.2">
      <c r="A37" s="30" t="s">
        <v>27</v>
      </c>
      <c r="B37" s="137">
        <v>0</v>
      </c>
      <c r="C37" s="138">
        <v>0</v>
      </c>
      <c r="D37" s="138">
        <v>0</v>
      </c>
      <c r="E37" s="155">
        <f t="shared" ref="E37:E49" si="10">SUM(B37:D37)</f>
        <v>0</v>
      </c>
      <c r="F37" s="139">
        <v>0</v>
      </c>
      <c r="G37" s="139">
        <v>0</v>
      </c>
      <c r="H37" s="150">
        <v>0</v>
      </c>
      <c r="I37" s="139">
        <v>0</v>
      </c>
      <c r="J37" s="139">
        <v>0</v>
      </c>
      <c r="K37" s="139">
        <v>0</v>
      </c>
      <c r="L37" s="139">
        <v>0</v>
      </c>
      <c r="M37" s="163">
        <f t="shared" ref="M37:M49" si="11">SUM(F37:L37)</f>
        <v>0</v>
      </c>
      <c r="N37" s="138">
        <v>0</v>
      </c>
      <c r="O37" s="140">
        <v>0</v>
      </c>
      <c r="P37" s="138">
        <v>0</v>
      </c>
      <c r="Q37" s="138">
        <v>0</v>
      </c>
      <c r="R37" s="183">
        <v>0</v>
      </c>
      <c r="S37" s="137">
        <v>0</v>
      </c>
      <c r="T37" s="183">
        <v>0</v>
      </c>
      <c r="U37" s="138">
        <v>0</v>
      </c>
      <c r="V37" s="192">
        <f t="shared" si="0"/>
        <v>0</v>
      </c>
      <c r="W37" s="138">
        <v>0</v>
      </c>
      <c r="X37" s="138">
        <v>0</v>
      </c>
      <c r="Y37" s="138">
        <v>0</v>
      </c>
      <c r="Z37" s="183">
        <v>0</v>
      </c>
      <c r="AA37" s="192" t="str">
        <f t="shared" si="1"/>
        <v>-</v>
      </c>
      <c r="AB37" s="142">
        <v>0</v>
      </c>
      <c r="AC37" s="139">
        <v>0</v>
      </c>
      <c r="AD37" s="139">
        <v>0</v>
      </c>
      <c r="AE37" s="123">
        <f t="shared" si="2"/>
        <v>0</v>
      </c>
    </row>
    <row r="38" spans="1:31" s="1" customFormat="1" ht="14.25" customHeight="1" x14ac:dyDescent="0.2">
      <c r="A38" s="30" t="s">
        <v>28</v>
      </c>
      <c r="B38" s="144">
        <v>3</v>
      </c>
      <c r="C38" s="145">
        <v>4</v>
      </c>
      <c r="D38" s="145">
        <v>6</v>
      </c>
      <c r="E38" s="155">
        <f t="shared" si="10"/>
        <v>13</v>
      </c>
      <c r="F38" s="139">
        <v>2050</v>
      </c>
      <c r="G38" s="139">
        <v>500</v>
      </c>
      <c r="H38" s="150">
        <v>0</v>
      </c>
      <c r="I38" s="138">
        <v>0</v>
      </c>
      <c r="J38" s="138">
        <v>0</v>
      </c>
      <c r="K38" s="138">
        <v>0</v>
      </c>
      <c r="L38" s="138">
        <v>0</v>
      </c>
      <c r="M38" s="163">
        <f t="shared" si="11"/>
        <v>2550</v>
      </c>
      <c r="N38" s="138">
        <v>1</v>
      </c>
      <c r="O38" s="140">
        <v>2</v>
      </c>
      <c r="P38" s="138">
        <v>0</v>
      </c>
      <c r="Q38" s="138">
        <v>0</v>
      </c>
      <c r="R38" s="183">
        <v>0</v>
      </c>
      <c r="S38" s="137">
        <v>0</v>
      </c>
      <c r="T38" s="183">
        <v>0</v>
      </c>
      <c r="U38" s="138">
        <v>0</v>
      </c>
      <c r="V38" s="192">
        <f t="shared" si="0"/>
        <v>0</v>
      </c>
      <c r="W38" s="138">
        <v>0</v>
      </c>
      <c r="X38" s="138">
        <v>0</v>
      </c>
      <c r="Y38" s="138">
        <v>0</v>
      </c>
      <c r="Z38" s="183">
        <v>0</v>
      </c>
      <c r="AA38" s="192" t="str">
        <f t="shared" si="1"/>
        <v>-</v>
      </c>
      <c r="AB38" s="137">
        <v>0</v>
      </c>
      <c r="AC38" s="138">
        <v>0</v>
      </c>
      <c r="AD38" s="138">
        <v>0</v>
      </c>
      <c r="AE38" s="123">
        <f t="shared" si="2"/>
        <v>0</v>
      </c>
    </row>
    <row r="39" spans="1:31" s="1" customFormat="1" ht="14.25" customHeight="1" x14ac:dyDescent="0.2">
      <c r="A39" s="30" t="s">
        <v>62</v>
      </c>
      <c r="B39" s="146">
        <v>0</v>
      </c>
      <c r="C39" s="147">
        <v>0</v>
      </c>
      <c r="D39" s="147">
        <v>0</v>
      </c>
      <c r="E39" s="155">
        <f t="shared" si="10"/>
        <v>0</v>
      </c>
      <c r="F39" s="150">
        <v>0</v>
      </c>
      <c r="G39" s="150">
        <v>0</v>
      </c>
      <c r="H39" s="150">
        <v>0</v>
      </c>
      <c r="I39" s="147">
        <v>0</v>
      </c>
      <c r="J39" s="147">
        <v>0</v>
      </c>
      <c r="K39" s="147">
        <v>0</v>
      </c>
      <c r="L39" s="147">
        <v>0</v>
      </c>
      <c r="M39" s="163">
        <f t="shared" si="11"/>
        <v>0</v>
      </c>
      <c r="N39" s="147">
        <v>0</v>
      </c>
      <c r="O39" s="149">
        <v>0</v>
      </c>
      <c r="P39" s="147">
        <v>0</v>
      </c>
      <c r="Q39" s="147">
        <v>0</v>
      </c>
      <c r="R39" s="184">
        <v>0</v>
      </c>
      <c r="S39" s="137">
        <v>0</v>
      </c>
      <c r="T39" s="183">
        <v>0</v>
      </c>
      <c r="U39" s="138">
        <v>0</v>
      </c>
      <c r="V39" s="192">
        <f t="shared" si="0"/>
        <v>0</v>
      </c>
      <c r="W39" s="147">
        <v>0</v>
      </c>
      <c r="X39" s="147">
        <v>0</v>
      </c>
      <c r="Y39" s="147">
        <v>0</v>
      </c>
      <c r="Z39" s="184">
        <v>0</v>
      </c>
      <c r="AA39" s="192" t="str">
        <f t="shared" si="1"/>
        <v>-</v>
      </c>
      <c r="AB39" s="146">
        <v>0</v>
      </c>
      <c r="AC39" s="147">
        <v>0</v>
      </c>
      <c r="AD39" s="147">
        <v>0</v>
      </c>
      <c r="AE39" s="123">
        <f t="shared" si="2"/>
        <v>0</v>
      </c>
    </row>
    <row r="40" spans="1:31" s="1" customFormat="1" ht="14.25" customHeight="1" x14ac:dyDescent="0.2">
      <c r="A40" s="30" t="s">
        <v>29</v>
      </c>
      <c r="B40" s="146">
        <v>0</v>
      </c>
      <c r="C40" s="147">
        <v>0</v>
      </c>
      <c r="D40" s="147">
        <v>0</v>
      </c>
      <c r="E40" s="155">
        <f t="shared" si="10"/>
        <v>0</v>
      </c>
      <c r="F40" s="150">
        <v>0</v>
      </c>
      <c r="G40" s="150">
        <v>0</v>
      </c>
      <c r="H40" s="150">
        <v>0</v>
      </c>
      <c r="I40" s="147">
        <v>0</v>
      </c>
      <c r="J40" s="147">
        <v>0</v>
      </c>
      <c r="K40" s="147">
        <v>0</v>
      </c>
      <c r="L40" s="147">
        <v>0</v>
      </c>
      <c r="M40" s="163">
        <f t="shared" si="11"/>
        <v>0</v>
      </c>
      <c r="N40" s="147">
        <v>0</v>
      </c>
      <c r="O40" s="149">
        <v>0</v>
      </c>
      <c r="P40" s="147">
        <v>0</v>
      </c>
      <c r="Q40" s="147">
        <v>0</v>
      </c>
      <c r="R40" s="184">
        <v>0</v>
      </c>
      <c r="S40" s="137">
        <v>0</v>
      </c>
      <c r="T40" s="183">
        <v>0</v>
      </c>
      <c r="U40" s="138">
        <v>0</v>
      </c>
      <c r="V40" s="192">
        <f t="shared" si="0"/>
        <v>0</v>
      </c>
      <c r="W40" s="147">
        <v>0</v>
      </c>
      <c r="X40" s="147">
        <v>0</v>
      </c>
      <c r="Y40" s="147">
        <v>0</v>
      </c>
      <c r="Z40" s="184">
        <v>0</v>
      </c>
      <c r="AA40" s="192" t="str">
        <f t="shared" si="1"/>
        <v>-</v>
      </c>
      <c r="AB40" s="146">
        <v>0</v>
      </c>
      <c r="AC40" s="147">
        <v>0</v>
      </c>
      <c r="AD40" s="147">
        <v>0</v>
      </c>
      <c r="AE40" s="123">
        <f t="shared" si="2"/>
        <v>0</v>
      </c>
    </row>
    <row r="41" spans="1:31" s="1" customFormat="1" ht="14.25" customHeight="1" x14ac:dyDescent="0.2">
      <c r="A41" s="30" t="s">
        <v>30</v>
      </c>
      <c r="B41" s="146">
        <v>0</v>
      </c>
      <c r="C41" s="147">
        <v>0</v>
      </c>
      <c r="D41" s="147">
        <v>0</v>
      </c>
      <c r="E41" s="155">
        <f t="shared" si="10"/>
        <v>0</v>
      </c>
      <c r="F41" s="150">
        <v>0</v>
      </c>
      <c r="G41" s="150">
        <v>0</v>
      </c>
      <c r="H41" s="150">
        <v>0</v>
      </c>
      <c r="I41" s="147">
        <v>0</v>
      </c>
      <c r="J41" s="147">
        <v>0</v>
      </c>
      <c r="K41" s="147">
        <v>0</v>
      </c>
      <c r="L41" s="147">
        <v>0</v>
      </c>
      <c r="M41" s="163">
        <f t="shared" si="11"/>
        <v>0</v>
      </c>
      <c r="N41" s="147">
        <v>0</v>
      </c>
      <c r="O41" s="149">
        <v>0</v>
      </c>
      <c r="P41" s="147">
        <v>0</v>
      </c>
      <c r="Q41" s="147">
        <v>0</v>
      </c>
      <c r="R41" s="184">
        <v>0</v>
      </c>
      <c r="S41" s="137">
        <v>0</v>
      </c>
      <c r="T41" s="183">
        <v>0</v>
      </c>
      <c r="U41" s="138">
        <v>0</v>
      </c>
      <c r="V41" s="192">
        <f t="shared" si="0"/>
        <v>0</v>
      </c>
      <c r="W41" s="147">
        <v>0</v>
      </c>
      <c r="X41" s="147">
        <v>0</v>
      </c>
      <c r="Y41" s="147">
        <v>0</v>
      </c>
      <c r="Z41" s="184">
        <v>0</v>
      </c>
      <c r="AA41" s="192" t="str">
        <f t="shared" si="1"/>
        <v>-</v>
      </c>
      <c r="AB41" s="146">
        <v>0</v>
      </c>
      <c r="AC41" s="147">
        <v>0</v>
      </c>
      <c r="AD41" s="147">
        <v>0</v>
      </c>
      <c r="AE41" s="123">
        <f t="shared" si="2"/>
        <v>0</v>
      </c>
    </row>
    <row r="42" spans="1:31" s="1" customFormat="1" ht="14.25" customHeight="1" x14ac:dyDescent="0.2">
      <c r="A42" s="30" t="s">
        <v>31</v>
      </c>
      <c r="B42" s="146">
        <v>0</v>
      </c>
      <c r="C42" s="147">
        <v>0</v>
      </c>
      <c r="D42" s="147">
        <v>0</v>
      </c>
      <c r="E42" s="155">
        <f t="shared" si="10"/>
        <v>0</v>
      </c>
      <c r="F42" s="150">
        <v>0</v>
      </c>
      <c r="G42" s="150">
        <v>0</v>
      </c>
      <c r="H42" s="150">
        <v>0</v>
      </c>
      <c r="I42" s="147">
        <v>0</v>
      </c>
      <c r="J42" s="147">
        <v>0</v>
      </c>
      <c r="K42" s="147">
        <v>0</v>
      </c>
      <c r="L42" s="147">
        <v>0</v>
      </c>
      <c r="M42" s="163">
        <f t="shared" si="11"/>
        <v>0</v>
      </c>
      <c r="N42" s="147">
        <v>0</v>
      </c>
      <c r="O42" s="149">
        <v>0</v>
      </c>
      <c r="P42" s="147">
        <v>0</v>
      </c>
      <c r="Q42" s="147">
        <v>0</v>
      </c>
      <c r="R42" s="184">
        <v>0</v>
      </c>
      <c r="S42" s="137">
        <v>0</v>
      </c>
      <c r="T42" s="183">
        <v>0</v>
      </c>
      <c r="U42" s="138">
        <v>0</v>
      </c>
      <c r="V42" s="192">
        <f t="shared" si="0"/>
        <v>0</v>
      </c>
      <c r="W42" s="147">
        <v>0</v>
      </c>
      <c r="X42" s="147">
        <v>0</v>
      </c>
      <c r="Y42" s="147">
        <v>0</v>
      </c>
      <c r="Z42" s="184">
        <v>0</v>
      </c>
      <c r="AA42" s="192" t="str">
        <f t="shared" si="1"/>
        <v>-</v>
      </c>
      <c r="AB42" s="146">
        <v>0</v>
      </c>
      <c r="AC42" s="147">
        <v>0</v>
      </c>
      <c r="AD42" s="147">
        <v>0</v>
      </c>
      <c r="AE42" s="123">
        <f t="shared" si="2"/>
        <v>0</v>
      </c>
    </row>
    <row r="43" spans="1:31" s="1" customFormat="1" ht="14.25" customHeight="1" x14ac:dyDescent="0.2">
      <c r="A43" s="30" t="s">
        <v>44</v>
      </c>
      <c r="B43" s="146">
        <v>0</v>
      </c>
      <c r="C43" s="147">
        <v>0</v>
      </c>
      <c r="D43" s="147">
        <v>0</v>
      </c>
      <c r="E43" s="155">
        <f t="shared" si="10"/>
        <v>0</v>
      </c>
      <c r="F43" s="150">
        <v>0</v>
      </c>
      <c r="G43" s="150">
        <v>0</v>
      </c>
      <c r="H43" s="150">
        <v>0</v>
      </c>
      <c r="I43" s="147">
        <v>0</v>
      </c>
      <c r="J43" s="147">
        <v>0</v>
      </c>
      <c r="K43" s="147">
        <v>0</v>
      </c>
      <c r="L43" s="147">
        <v>0</v>
      </c>
      <c r="M43" s="163">
        <f t="shared" si="11"/>
        <v>0</v>
      </c>
      <c r="N43" s="147">
        <v>0</v>
      </c>
      <c r="O43" s="149">
        <v>0</v>
      </c>
      <c r="P43" s="147">
        <v>0</v>
      </c>
      <c r="Q43" s="147">
        <v>0</v>
      </c>
      <c r="R43" s="184">
        <v>0</v>
      </c>
      <c r="S43" s="137">
        <v>0</v>
      </c>
      <c r="T43" s="183">
        <v>0</v>
      </c>
      <c r="U43" s="138">
        <v>0</v>
      </c>
      <c r="V43" s="192">
        <f t="shared" si="0"/>
        <v>0</v>
      </c>
      <c r="W43" s="147">
        <v>0</v>
      </c>
      <c r="X43" s="147">
        <v>0</v>
      </c>
      <c r="Y43" s="147">
        <v>0</v>
      </c>
      <c r="Z43" s="184">
        <v>0</v>
      </c>
      <c r="AA43" s="192" t="str">
        <f t="shared" si="1"/>
        <v>-</v>
      </c>
      <c r="AB43" s="146">
        <v>0</v>
      </c>
      <c r="AC43" s="147">
        <v>0</v>
      </c>
      <c r="AD43" s="147">
        <v>0</v>
      </c>
      <c r="AE43" s="123">
        <f t="shared" si="2"/>
        <v>0</v>
      </c>
    </row>
    <row r="44" spans="1:31" s="1" customFormat="1" ht="14.25" customHeight="1" x14ac:dyDescent="0.2">
      <c r="A44" s="30" t="s">
        <v>32</v>
      </c>
      <c r="B44" s="146">
        <v>0</v>
      </c>
      <c r="C44" s="147">
        <v>0</v>
      </c>
      <c r="D44" s="147">
        <v>0</v>
      </c>
      <c r="E44" s="155">
        <f t="shared" si="10"/>
        <v>0</v>
      </c>
      <c r="F44" s="150">
        <v>0</v>
      </c>
      <c r="G44" s="150">
        <v>0</v>
      </c>
      <c r="H44" s="150">
        <v>0</v>
      </c>
      <c r="I44" s="147">
        <v>0</v>
      </c>
      <c r="J44" s="147">
        <v>0</v>
      </c>
      <c r="K44" s="147">
        <v>0</v>
      </c>
      <c r="L44" s="147">
        <v>0</v>
      </c>
      <c r="M44" s="163">
        <f t="shared" si="11"/>
        <v>0</v>
      </c>
      <c r="N44" s="147">
        <v>0</v>
      </c>
      <c r="O44" s="149">
        <v>0</v>
      </c>
      <c r="P44" s="147">
        <v>0</v>
      </c>
      <c r="Q44" s="147">
        <v>0</v>
      </c>
      <c r="R44" s="184">
        <v>0</v>
      </c>
      <c r="S44" s="137">
        <v>0</v>
      </c>
      <c r="T44" s="183">
        <v>0</v>
      </c>
      <c r="U44" s="138">
        <v>0</v>
      </c>
      <c r="V44" s="192">
        <f t="shared" si="0"/>
        <v>0</v>
      </c>
      <c r="W44" s="147">
        <v>0</v>
      </c>
      <c r="X44" s="147">
        <v>0</v>
      </c>
      <c r="Y44" s="147">
        <v>0</v>
      </c>
      <c r="Z44" s="184">
        <v>0</v>
      </c>
      <c r="AA44" s="192" t="str">
        <f t="shared" si="1"/>
        <v>-</v>
      </c>
      <c r="AB44" s="146">
        <v>0</v>
      </c>
      <c r="AC44" s="147">
        <v>0</v>
      </c>
      <c r="AD44" s="147">
        <v>0</v>
      </c>
      <c r="AE44" s="123">
        <f t="shared" si="2"/>
        <v>0</v>
      </c>
    </row>
    <row r="45" spans="1:31" s="1" customFormat="1" ht="14.25" customHeight="1" x14ac:dyDescent="0.2">
      <c r="A45" s="30" t="s">
        <v>105</v>
      </c>
      <c r="B45" s="146">
        <v>0</v>
      </c>
      <c r="C45" s="147">
        <v>0</v>
      </c>
      <c r="D45" s="147">
        <v>0</v>
      </c>
      <c r="E45" s="155">
        <f t="shared" si="10"/>
        <v>0</v>
      </c>
      <c r="F45" s="150">
        <v>0</v>
      </c>
      <c r="G45" s="150">
        <v>0</v>
      </c>
      <c r="H45" s="150">
        <v>0</v>
      </c>
      <c r="I45" s="147">
        <v>0</v>
      </c>
      <c r="J45" s="147">
        <v>0</v>
      </c>
      <c r="K45" s="147">
        <v>0</v>
      </c>
      <c r="L45" s="147">
        <v>0</v>
      </c>
      <c r="M45" s="163">
        <f t="shared" si="11"/>
        <v>0</v>
      </c>
      <c r="N45" s="147">
        <v>0</v>
      </c>
      <c r="O45" s="149">
        <v>0</v>
      </c>
      <c r="P45" s="147">
        <v>0</v>
      </c>
      <c r="Q45" s="147">
        <v>0</v>
      </c>
      <c r="R45" s="184">
        <v>0</v>
      </c>
      <c r="S45" s="137">
        <v>0</v>
      </c>
      <c r="T45" s="183">
        <v>0</v>
      </c>
      <c r="U45" s="138">
        <v>0</v>
      </c>
      <c r="V45" s="192">
        <f t="shared" si="0"/>
        <v>0</v>
      </c>
      <c r="W45" s="147">
        <v>0</v>
      </c>
      <c r="X45" s="147">
        <v>0</v>
      </c>
      <c r="Y45" s="147">
        <v>0</v>
      </c>
      <c r="Z45" s="184">
        <v>0</v>
      </c>
      <c r="AA45" s="192" t="str">
        <f t="shared" si="1"/>
        <v>-</v>
      </c>
      <c r="AB45" s="146">
        <v>0</v>
      </c>
      <c r="AC45" s="147">
        <v>0</v>
      </c>
      <c r="AD45" s="147">
        <v>0</v>
      </c>
      <c r="AE45" s="123">
        <f t="shared" si="2"/>
        <v>0</v>
      </c>
    </row>
    <row r="46" spans="1:31" s="1" customFormat="1" ht="14.25" customHeight="1" x14ac:dyDescent="0.2">
      <c r="A46" s="30" t="s">
        <v>33</v>
      </c>
      <c r="B46" s="146">
        <v>0</v>
      </c>
      <c r="C46" s="147">
        <v>0</v>
      </c>
      <c r="D46" s="147">
        <v>0</v>
      </c>
      <c r="E46" s="155">
        <f t="shared" si="10"/>
        <v>0</v>
      </c>
      <c r="F46" s="150">
        <v>0</v>
      </c>
      <c r="G46" s="150">
        <v>0</v>
      </c>
      <c r="H46" s="150">
        <v>0</v>
      </c>
      <c r="I46" s="147">
        <v>0</v>
      </c>
      <c r="J46" s="147">
        <v>0</v>
      </c>
      <c r="K46" s="147">
        <v>0</v>
      </c>
      <c r="L46" s="147">
        <v>0</v>
      </c>
      <c r="M46" s="163">
        <f t="shared" si="11"/>
        <v>0</v>
      </c>
      <c r="N46" s="147">
        <v>0</v>
      </c>
      <c r="O46" s="149">
        <v>0</v>
      </c>
      <c r="P46" s="147">
        <v>0</v>
      </c>
      <c r="Q46" s="147">
        <v>0</v>
      </c>
      <c r="R46" s="184">
        <v>0</v>
      </c>
      <c r="S46" s="137">
        <v>0</v>
      </c>
      <c r="T46" s="183">
        <v>0</v>
      </c>
      <c r="U46" s="138">
        <v>0</v>
      </c>
      <c r="V46" s="192">
        <f t="shared" si="0"/>
        <v>0</v>
      </c>
      <c r="W46" s="147">
        <v>0</v>
      </c>
      <c r="X46" s="147">
        <v>0</v>
      </c>
      <c r="Y46" s="147">
        <v>0</v>
      </c>
      <c r="Z46" s="184">
        <v>0</v>
      </c>
      <c r="AA46" s="192" t="str">
        <f t="shared" si="1"/>
        <v>-</v>
      </c>
      <c r="AB46" s="146">
        <v>0</v>
      </c>
      <c r="AC46" s="147">
        <v>0</v>
      </c>
      <c r="AD46" s="147">
        <v>0</v>
      </c>
      <c r="AE46" s="123">
        <f t="shared" si="2"/>
        <v>0</v>
      </c>
    </row>
    <row r="47" spans="1:31" s="1" customFormat="1" ht="14.25" customHeight="1" x14ac:dyDescent="0.2">
      <c r="A47" s="30" t="s">
        <v>34</v>
      </c>
      <c r="B47" s="146">
        <v>0</v>
      </c>
      <c r="C47" s="147">
        <v>0</v>
      </c>
      <c r="D47" s="147">
        <v>0</v>
      </c>
      <c r="E47" s="155">
        <f t="shared" si="10"/>
        <v>0</v>
      </c>
      <c r="F47" s="150">
        <v>0</v>
      </c>
      <c r="G47" s="150">
        <v>0</v>
      </c>
      <c r="H47" s="150">
        <v>0</v>
      </c>
      <c r="I47" s="147">
        <v>0</v>
      </c>
      <c r="J47" s="147">
        <v>0</v>
      </c>
      <c r="K47" s="147">
        <v>0</v>
      </c>
      <c r="L47" s="147">
        <v>0</v>
      </c>
      <c r="M47" s="163">
        <f t="shared" si="11"/>
        <v>0</v>
      </c>
      <c r="N47" s="147">
        <v>0</v>
      </c>
      <c r="O47" s="149">
        <v>0</v>
      </c>
      <c r="P47" s="147">
        <v>0</v>
      </c>
      <c r="Q47" s="147">
        <v>0</v>
      </c>
      <c r="R47" s="184">
        <v>0</v>
      </c>
      <c r="S47" s="137">
        <v>0</v>
      </c>
      <c r="T47" s="183">
        <v>0</v>
      </c>
      <c r="U47" s="138">
        <v>0</v>
      </c>
      <c r="V47" s="192">
        <f t="shared" si="0"/>
        <v>0</v>
      </c>
      <c r="W47" s="147">
        <v>0</v>
      </c>
      <c r="X47" s="147">
        <v>0</v>
      </c>
      <c r="Y47" s="147">
        <v>0</v>
      </c>
      <c r="Z47" s="184">
        <v>0</v>
      </c>
      <c r="AA47" s="192" t="str">
        <f t="shared" si="1"/>
        <v>-</v>
      </c>
      <c r="AB47" s="146">
        <v>0</v>
      </c>
      <c r="AC47" s="147">
        <v>0</v>
      </c>
      <c r="AD47" s="147">
        <v>0</v>
      </c>
      <c r="AE47" s="123">
        <f t="shared" si="2"/>
        <v>0</v>
      </c>
    </row>
    <row r="48" spans="1:31" s="1" customFormat="1" ht="14.25" customHeight="1" x14ac:dyDescent="0.2">
      <c r="A48" s="30" t="s">
        <v>35</v>
      </c>
      <c r="B48" s="146">
        <v>0</v>
      </c>
      <c r="C48" s="147">
        <v>0</v>
      </c>
      <c r="D48" s="147">
        <v>0</v>
      </c>
      <c r="E48" s="155">
        <f t="shared" si="10"/>
        <v>0</v>
      </c>
      <c r="F48" s="147">
        <v>0</v>
      </c>
      <c r="G48" s="147">
        <v>0</v>
      </c>
      <c r="H48" s="150">
        <v>0</v>
      </c>
      <c r="I48" s="147">
        <v>0</v>
      </c>
      <c r="J48" s="147">
        <v>0</v>
      </c>
      <c r="K48" s="147">
        <v>0</v>
      </c>
      <c r="L48" s="147">
        <v>0</v>
      </c>
      <c r="M48" s="163">
        <f t="shared" si="11"/>
        <v>0</v>
      </c>
      <c r="N48" s="147">
        <v>0</v>
      </c>
      <c r="O48" s="149">
        <v>0</v>
      </c>
      <c r="P48" s="147">
        <v>0</v>
      </c>
      <c r="Q48" s="147">
        <v>0</v>
      </c>
      <c r="R48" s="184">
        <v>0</v>
      </c>
      <c r="S48" s="137">
        <v>0</v>
      </c>
      <c r="T48" s="183">
        <v>0</v>
      </c>
      <c r="U48" s="138">
        <v>0</v>
      </c>
      <c r="V48" s="192">
        <f t="shared" si="0"/>
        <v>0</v>
      </c>
      <c r="W48" s="147">
        <v>0</v>
      </c>
      <c r="X48" s="147">
        <v>0</v>
      </c>
      <c r="Y48" s="147">
        <v>0</v>
      </c>
      <c r="Z48" s="184">
        <v>0</v>
      </c>
      <c r="AA48" s="192" t="str">
        <f t="shared" si="1"/>
        <v>-</v>
      </c>
      <c r="AB48" s="146">
        <v>0</v>
      </c>
      <c r="AC48" s="147">
        <v>0</v>
      </c>
      <c r="AD48" s="147">
        <v>0</v>
      </c>
      <c r="AE48" s="123">
        <f t="shared" si="2"/>
        <v>0</v>
      </c>
    </row>
    <row r="49" spans="1:31" s="1" customFormat="1" ht="14.25" customHeight="1" thickBot="1" x14ac:dyDescent="0.25">
      <c r="A49" s="43" t="s">
        <v>112</v>
      </c>
      <c r="B49" s="152">
        <v>0</v>
      </c>
      <c r="C49" s="151">
        <v>0</v>
      </c>
      <c r="D49" s="151">
        <v>0</v>
      </c>
      <c r="E49" s="169">
        <f t="shared" si="10"/>
        <v>0</v>
      </c>
      <c r="F49" s="151">
        <v>0</v>
      </c>
      <c r="G49" s="151">
        <v>0</v>
      </c>
      <c r="H49" s="153">
        <v>0</v>
      </c>
      <c r="I49" s="151">
        <v>0</v>
      </c>
      <c r="J49" s="151">
        <v>0</v>
      </c>
      <c r="K49" s="151">
        <v>0</v>
      </c>
      <c r="L49" s="151">
        <v>0</v>
      </c>
      <c r="M49" s="164">
        <f t="shared" si="11"/>
        <v>0</v>
      </c>
      <c r="N49" s="177">
        <v>0</v>
      </c>
      <c r="O49" s="178">
        <v>0</v>
      </c>
      <c r="P49" s="177">
        <v>0</v>
      </c>
      <c r="Q49" s="177">
        <v>0</v>
      </c>
      <c r="R49" s="191">
        <v>0</v>
      </c>
      <c r="S49" s="195">
        <v>0</v>
      </c>
      <c r="T49" s="189">
        <v>0</v>
      </c>
      <c r="U49" s="203">
        <v>0</v>
      </c>
      <c r="V49" s="193">
        <f t="shared" si="0"/>
        <v>0</v>
      </c>
      <c r="W49" s="177">
        <v>0</v>
      </c>
      <c r="X49" s="177">
        <v>0</v>
      </c>
      <c r="Y49" s="177">
        <v>0</v>
      </c>
      <c r="Z49" s="191">
        <v>0</v>
      </c>
      <c r="AA49" s="193" t="str">
        <f t="shared" si="1"/>
        <v>-</v>
      </c>
      <c r="AB49" s="146">
        <v>0</v>
      </c>
      <c r="AC49" s="147">
        <v>0</v>
      </c>
      <c r="AD49" s="147">
        <v>0</v>
      </c>
      <c r="AE49" s="123">
        <f t="shared" si="2"/>
        <v>0</v>
      </c>
    </row>
    <row r="50" spans="1:31" s="1" customFormat="1" ht="14.25" customHeight="1" thickBot="1" x14ac:dyDescent="0.25">
      <c r="A50" s="235"/>
      <c r="B50" s="168">
        <f t="shared" ref="B50:U50" si="12">SUM(B37:B49)</f>
        <v>3</v>
      </c>
      <c r="C50" s="172">
        <f t="shared" si="12"/>
        <v>4</v>
      </c>
      <c r="D50" s="172">
        <f t="shared" si="12"/>
        <v>6</v>
      </c>
      <c r="E50" s="172">
        <f t="shared" si="12"/>
        <v>13</v>
      </c>
      <c r="F50" s="165">
        <f t="shared" si="12"/>
        <v>2050</v>
      </c>
      <c r="G50" s="165">
        <f t="shared" si="12"/>
        <v>500</v>
      </c>
      <c r="H50" s="165">
        <f t="shared" si="12"/>
        <v>0</v>
      </c>
      <c r="I50" s="165">
        <f t="shared" si="12"/>
        <v>0</v>
      </c>
      <c r="J50" s="165">
        <f t="shared" si="12"/>
        <v>0</v>
      </c>
      <c r="K50" s="165">
        <f t="shared" si="12"/>
        <v>0</v>
      </c>
      <c r="L50" s="165">
        <f t="shared" si="12"/>
        <v>0</v>
      </c>
      <c r="M50" s="165">
        <f t="shared" si="12"/>
        <v>2550</v>
      </c>
      <c r="N50" s="176">
        <f t="shared" si="12"/>
        <v>1</v>
      </c>
      <c r="O50" s="174">
        <f t="shared" si="12"/>
        <v>2</v>
      </c>
      <c r="P50" s="176">
        <f t="shared" si="12"/>
        <v>0</v>
      </c>
      <c r="Q50" s="176">
        <f t="shared" si="12"/>
        <v>0</v>
      </c>
      <c r="R50" s="187">
        <f t="shared" si="12"/>
        <v>0</v>
      </c>
      <c r="S50" s="198">
        <f t="shared" si="12"/>
        <v>0</v>
      </c>
      <c r="T50" s="196">
        <f t="shared" si="12"/>
        <v>0</v>
      </c>
      <c r="U50" s="204">
        <f t="shared" si="12"/>
        <v>0</v>
      </c>
      <c r="V50" s="206">
        <f>IF(SUM(V37:V49)&gt;0,AVERAGEIF(V37:V49,"&lt;&gt;0"),0)</f>
        <v>0</v>
      </c>
      <c r="W50" s="176">
        <f>SUM(W37:W49)</f>
        <v>0</v>
      </c>
      <c r="X50" s="176">
        <f>SUM(X37:X49)</f>
        <v>0</v>
      </c>
      <c r="Y50" s="176">
        <f>SUM(Y37:Y49)</f>
        <v>0</v>
      </c>
      <c r="Z50" s="187">
        <f>SUM(Z37:Z49)</f>
        <v>0</v>
      </c>
      <c r="AA50" s="161">
        <f>IF(SUM(AA37:AA49),AVERAGEIF(AA37:AA49,"&lt;&gt;0"),0)</f>
        <v>0</v>
      </c>
      <c r="AB50" s="168">
        <f>SUM(AB37:AB49)</f>
        <v>0</v>
      </c>
      <c r="AC50" s="165">
        <f>SUM(AC37:AC49)</f>
        <v>0</v>
      </c>
      <c r="AD50" s="165">
        <f>SUM(AD37:AD49)</f>
        <v>0</v>
      </c>
      <c r="AE50" s="127">
        <f>SUM(AE37:AE49)</f>
        <v>0</v>
      </c>
    </row>
    <row r="51" spans="1:31" s="1" customFormat="1" thickBot="1" x14ac:dyDescent="0.25">
      <c r="A51" s="77" t="s">
        <v>119</v>
      </c>
      <c r="B51" s="181">
        <f>B10+B15+B21+B26+B36+B50</f>
        <v>662</v>
      </c>
      <c r="C51" s="182">
        <f t="shared" ref="C51:U51" si="13">C10+C15+C21+C26+C36+C50</f>
        <v>841</v>
      </c>
      <c r="D51" s="182">
        <f t="shared" si="13"/>
        <v>910</v>
      </c>
      <c r="E51" s="182">
        <f t="shared" si="13"/>
        <v>2413</v>
      </c>
      <c r="F51" s="182">
        <f t="shared" si="13"/>
        <v>312890</v>
      </c>
      <c r="G51" s="182">
        <f t="shared" si="13"/>
        <v>156805</v>
      </c>
      <c r="H51" s="182">
        <f t="shared" si="13"/>
        <v>0</v>
      </c>
      <c r="I51" s="182">
        <f t="shared" si="13"/>
        <v>33660</v>
      </c>
      <c r="J51" s="182">
        <f t="shared" si="13"/>
        <v>0</v>
      </c>
      <c r="K51" s="182">
        <f t="shared" si="13"/>
        <v>14440</v>
      </c>
      <c r="L51" s="182">
        <f t="shared" si="13"/>
        <v>6520</v>
      </c>
      <c r="M51" s="182">
        <f t="shared" si="13"/>
        <v>524315</v>
      </c>
      <c r="N51" s="182">
        <f t="shared" si="13"/>
        <v>53</v>
      </c>
      <c r="O51" s="182">
        <f t="shared" si="13"/>
        <v>21</v>
      </c>
      <c r="P51" s="180">
        <f t="shared" si="13"/>
        <v>0</v>
      </c>
      <c r="Q51" s="188">
        <f t="shared" si="13"/>
        <v>0</v>
      </c>
      <c r="R51" s="128">
        <f t="shared" si="13"/>
        <v>0</v>
      </c>
      <c r="S51" s="199">
        <f t="shared" si="13"/>
        <v>0</v>
      </c>
      <c r="T51" s="197">
        <f t="shared" si="13"/>
        <v>0</v>
      </c>
      <c r="U51" s="128">
        <f t="shared" si="13"/>
        <v>0</v>
      </c>
      <c r="V51" s="190">
        <f>IF(SUM(V6:V50)&gt;0,AVERAGEIF(V6:V50, "&lt;&gt;0"),0)</f>
        <v>0</v>
      </c>
      <c r="W51" s="179">
        <f>W10+W15+W21+W26+W36+W50</f>
        <v>0</v>
      </c>
      <c r="X51" s="188">
        <f>X10+X15+X21+X26+X36+X50</f>
        <v>0</v>
      </c>
      <c r="Y51" s="180">
        <f>Y10+Y15+Y21+Y26+Y36+Y50</f>
        <v>0</v>
      </c>
      <c r="Z51" s="180">
        <f>Z10+Z15+Z21+Z26+Z36+Z50</f>
        <v>0</v>
      </c>
      <c r="AA51" s="190">
        <f>IF(SUM(AA6:AA50)&gt;0,AVERAGEIF(AA6:AA50, "&lt;&gt;0"),0)</f>
        <v>0</v>
      </c>
      <c r="AB51" s="179">
        <f>AB10+AB15+AB21+AB26+AB36+AB50</f>
        <v>0</v>
      </c>
      <c r="AC51" s="180">
        <f>AC10+AC15+AC21+AC26+AC36+AC50</f>
        <v>0</v>
      </c>
      <c r="AD51" s="180">
        <f>AD10+AD15+AD21+AD26+AD36+AD50</f>
        <v>0</v>
      </c>
      <c r="AE51" s="190">
        <f>AE10+AE15+AE21+AE26+AE36+AE50</f>
        <v>0</v>
      </c>
    </row>
    <row r="55" spans="1:31" x14ac:dyDescent="0.25">
      <c r="C55" s="133"/>
    </row>
  </sheetData>
  <sheetProtection password="A367" sheet="1" objects="1" scenarios="1"/>
  <mergeCells count="8">
    <mergeCell ref="B4:E4"/>
    <mergeCell ref="W4:AA4"/>
    <mergeCell ref="AB4:AE4"/>
    <mergeCell ref="A1:A3"/>
    <mergeCell ref="F4:M4"/>
    <mergeCell ref="N4:O4"/>
    <mergeCell ref="P4:R4"/>
    <mergeCell ref="S4:V4"/>
  </mergeCells>
  <conditionalFormatting sqref="S27:S35 U27:U35">
    <cfRule type="containsBlanks" dxfId="196" priority="34">
      <formula>LEN(TRIM(S27))=0</formula>
    </cfRule>
  </conditionalFormatting>
  <conditionalFormatting sqref="S37:S49 U37:U49">
    <cfRule type="containsBlanks" dxfId="195" priority="33">
      <formula>LEN(TRIM(S37))=0</formula>
    </cfRule>
  </conditionalFormatting>
  <conditionalFormatting sqref="AA6:AA9">
    <cfRule type="containsBlanks" dxfId="194" priority="32">
      <formula>LEN(TRIM(AA6))=0</formula>
    </cfRule>
  </conditionalFormatting>
  <conditionalFormatting sqref="AA11:AA14">
    <cfRule type="containsBlanks" dxfId="193" priority="31">
      <formula>LEN(TRIM(AA11))=0</formula>
    </cfRule>
  </conditionalFormatting>
  <conditionalFormatting sqref="AA16:AA20">
    <cfRule type="containsBlanks" dxfId="192" priority="30">
      <formula>LEN(TRIM(AA16))=0</formula>
    </cfRule>
  </conditionalFormatting>
  <conditionalFormatting sqref="AB11:AD11">
    <cfRule type="containsBlanks" dxfId="191" priority="49">
      <formula>LEN(TRIM(AB11))=0</formula>
    </cfRule>
  </conditionalFormatting>
  <conditionalFormatting sqref="AB8:AD8">
    <cfRule type="containsBlanks" dxfId="190" priority="48">
      <formula>LEN(TRIM(AB8))=0</formula>
    </cfRule>
  </conditionalFormatting>
  <conditionalFormatting sqref="AB9:AD9">
    <cfRule type="containsBlanks" dxfId="189" priority="47">
      <formula>LEN(TRIM(AB9))=0</formula>
    </cfRule>
  </conditionalFormatting>
  <conditionalFormatting sqref="AE11:AE14">
    <cfRule type="containsBlanks" dxfId="188" priority="46">
      <formula>LEN(TRIM(AE11))=0</formula>
    </cfRule>
  </conditionalFormatting>
  <conditionalFormatting sqref="AE16:AE20">
    <cfRule type="containsBlanks" dxfId="187" priority="45">
      <formula>LEN(TRIM(AE16))=0</formula>
    </cfRule>
  </conditionalFormatting>
  <conditionalFormatting sqref="AE22:AE25">
    <cfRule type="containsBlanks" dxfId="186" priority="44">
      <formula>LEN(TRIM(AE22))=0</formula>
    </cfRule>
  </conditionalFormatting>
  <conditionalFormatting sqref="V27:V35">
    <cfRule type="containsBlanks" dxfId="185" priority="23">
      <formula>LEN(TRIM(V27))=0</formula>
    </cfRule>
  </conditionalFormatting>
  <conditionalFormatting sqref="V37:V49">
    <cfRule type="containsBlanks" dxfId="184" priority="22">
      <formula>LEN(TRIM(V37))=0</formula>
    </cfRule>
  </conditionalFormatting>
  <conditionalFormatting sqref="P12:P14 P22:P49 P16:P20 P6:P7 R6:R7 R16:R20 R22:R49 R12:R14">
    <cfRule type="containsBlanks" dxfId="183" priority="21">
      <formula>LEN(TRIM(P6))=0</formula>
    </cfRule>
  </conditionalFormatting>
  <conditionalFormatting sqref="P11 R11">
    <cfRule type="containsBlanks" dxfId="182" priority="20">
      <formula>LEN(TRIM(P11))=0</formula>
    </cfRule>
  </conditionalFormatting>
  <conditionalFormatting sqref="P8 R8">
    <cfRule type="containsBlanks" dxfId="181" priority="19">
      <formula>LEN(TRIM(P8))=0</formula>
    </cfRule>
  </conditionalFormatting>
  <conditionalFormatting sqref="G6:I9 G11:I14 K11:O14 K6:O9">
    <cfRule type="containsBlanks" dxfId="180" priority="80">
      <formula>LEN(TRIM(G6))=0</formula>
    </cfRule>
  </conditionalFormatting>
  <conditionalFormatting sqref="G26:I26 G36:I36 K36:O36 K26:O26">
    <cfRule type="containsBlanks" dxfId="179" priority="81">
      <formula>LEN(TRIM(G26))=0</formula>
    </cfRule>
  </conditionalFormatting>
  <conditionalFormatting sqref="T22:T25">
    <cfRule type="containsBlanks" dxfId="178" priority="10">
      <formula>LEN(TRIM(T22))=0</formula>
    </cfRule>
  </conditionalFormatting>
  <conditionalFormatting sqref="G16:I20 K16:O20">
    <cfRule type="containsBlanks" dxfId="177" priority="79">
      <formula>LEN(TRIM(G16))=0</formula>
    </cfRule>
  </conditionalFormatting>
  <conditionalFormatting sqref="G22:I25 K22:O25">
    <cfRule type="containsBlanks" dxfId="176" priority="78">
      <formula>LEN(TRIM(G22))=0</formula>
    </cfRule>
  </conditionalFormatting>
  <conditionalFormatting sqref="G27:I28 G30:I35 M29:O29 K30:O35 K27:O28">
    <cfRule type="containsBlanks" dxfId="175" priority="77">
      <formula>LEN(TRIM(G27))=0</formula>
    </cfRule>
  </conditionalFormatting>
  <conditionalFormatting sqref="G37:I49 K37:O49">
    <cfRule type="containsBlanks" dxfId="174" priority="76">
      <formula>LEN(TRIM(G37))=0</formula>
    </cfRule>
  </conditionalFormatting>
  <conditionalFormatting sqref="T11:T14">
    <cfRule type="containsBlanks" dxfId="173" priority="12">
      <formula>LEN(TRIM(T11))=0</formula>
    </cfRule>
  </conditionalFormatting>
  <conditionalFormatting sqref="T16:T20">
    <cfRule type="containsBlanks" dxfId="172" priority="11">
      <formula>LEN(TRIM(T16))=0</formula>
    </cfRule>
  </conditionalFormatting>
  <conditionalFormatting sqref="T27:T35">
    <cfRule type="containsBlanks" dxfId="171" priority="9">
      <formula>LEN(TRIM(T27))=0</formula>
    </cfRule>
  </conditionalFormatting>
  <conditionalFormatting sqref="G29:I29 K29:L29">
    <cfRule type="containsBlanks" dxfId="170" priority="71">
      <formula>LEN(TRIM(G29))=0</formula>
    </cfRule>
  </conditionalFormatting>
  <conditionalFormatting sqref="AA37:AA49">
    <cfRule type="containsBlanks" dxfId="169" priority="27">
      <formula>LEN(TRIM(AA37))=0</formula>
    </cfRule>
  </conditionalFormatting>
  <conditionalFormatting sqref="V11:V14">
    <cfRule type="containsBlanks" dxfId="168" priority="26">
      <formula>LEN(TRIM(V11))=0</formula>
    </cfRule>
  </conditionalFormatting>
  <conditionalFormatting sqref="V16:V20">
    <cfRule type="containsBlanks" dxfId="167" priority="25">
      <formula>LEN(TRIM(V16))=0</formula>
    </cfRule>
  </conditionalFormatting>
  <conditionalFormatting sqref="V22:V25">
    <cfRule type="containsBlanks" dxfId="166" priority="24">
      <formula>LEN(TRIM(V22))=0</formula>
    </cfRule>
  </conditionalFormatting>
  <conditionalFormatting sqref="P9 R9">
    <cfRule type="containsBlanks" dxfId="165" priority="18">
      <formula>LEN(TRIM(P9))=0</formula>
    </cfRule>
  </conditionalFormatting>
  <conditionalFormatting sqref="Q8">
    <cfRule type="containsBlanks" dxfId="164" priority="15">
      <formula>LEN(TRIM(Q8))=0</formula>
    </cfRule>
  </conditionalFormatting>
  <conditionalFormatting sqref="Q6:Q7 Q16:Q20 Q22:Q49 Q12:Q14">
    <cfRule type="containsBlanks" dxfId="163" priority="17">
      <formula>LEN(TRIM(Q6))=0</formula>
    </cfRule>
  </conditionalFormatting>
  <conditionalFormatting sqref="Q11">
    <cfRule type="containsBlanks" dxfId="162" priority="16">
      <formula>LEN(TRIM(Q11))=0</formula>
    </cfRule>
  </conditionalFormatting>
  <conditionalFormatting sqref="Q9">
    <cfRule type="containsBlanks" dxfId="161" priority="14">
      <formula>LEN(TRIM(Q9))=0</formula>
    </cfRule>
  </conditionalFormatting>
  <conditionalFormatting sqref="T6:T9 T36 T26">
    <cfRule type="containsBlanks" dxfId="160" priority="13">
      <formula>LEN(TRIM(T6))=0</formula>
    </cfRule>
  </conditionalFormatting>
  <conditionalFormatting sqref="T37:T49">
    <cfRule type="containsBlanks" dxfId="159" priority="8">
      <formula>LEN(TRIM(T37))=0</formula>
    </cfRule>
  </conditionalFormatting>
  <conditionalFormatting sqref="AB26:AE26 AB12:AD14 AB6:AE6 AB7:AD7 AE7:AE9 AB16:AD20 AB22:AD25 AB36:AE36 AB27:AD35 AB37:AD49">
    <cfRule type="containsBlanks" dxfId="158" priority="50">
      <formula>LEN(TRIM(AB6))=0</formula>
    </cfRule>
  </conditionalFormatting>
  <conditionalFormatting sqref="AE27:AE35">
    <cfRule type="containsBlanks" dxfId="157" priority="43">
      <formula>LEN(TRIM(AE27))=0</formula>
    </cfRule>
  </conditionalFormatting>
  <conditionalFormatting sqref="AE37:AE49">
    <cfRule type="containsBlanks" dxfId="156" priority="42">
      <formula>LEN(TRIM(AE37))=0</formula>
    </cfRule>
  </conditionalFormatting>
  <conditionalFormatting sqref="S26 S36 W6:Z7 W22:Z49 W16:Z20 W12:Z14 S6:S9 U6:V9 U36 U26">
    <cfRule type="containsBlanks" dxfId="155" priority="41">
      <formula>LEN(TRIM(S6))=0</formula>
    </cfRule>
  </conditionalFormatting>
  <conditionalFormatting sqref="W11:Z11">
    <cfRule type="containsBlanks" dxfId="154" priority="40">
      <formula>LEN(TRIM(W11))=0</formula>
    </cfRule>
  </conditionalFormatting>
  <conditionalFormatting sqref="W8:Z8">
    <cfRule type="containsBlanks" dxfId="153" priority="39">
      <formula>LEN(TRIM(W8))=0</formula>
    </cfRule>
  </conditionalFormatting>
  <conditionalFormatting sqref="W9:Z9">
    <cfRule type="containsBlanks" dxfId="152" priority="38">
      <formula>LEN(TRIM(W9))=0</formula>
    </cfRule>
  </conditionalFormatting>
  <conditionalFormatting sqref="S11:S14 U11:U14">
    <cfRule type="containsBlanks" dxfId="151" priority="37">
      <formula>LEN(TRIM(S11))=0</formula>
    </cfRule>
  </conditionalFormatting>
  <conditionalFormatting sqref="S16:S20 U16:U20">
    <cfRule type="containsBlanks" dxfId="150" priority="36">
      <formula>LEN(TRIM(S16))=0</formula>
    </cfRule>
  </conditionalFormatting>
  <conditionalFormatting sqref="S22:S25 U22:U25">
    <cfRule type="containsBlanks" dxfId="149" priority="35">
      <formula>LEN(TRIM(S22))=0</formula>
    </cfRule>
  </conditionalFormatting>
  <conditionalFormatting sqref="AA22:AA25">
    <cfRule type="containsBlanks" dxfId="148" priority="29">
      <formula>LEN(TRIM(AA22))=0</formula>
    </cfRule>
  </conditionalFormatting>
  <conditionalFormatting sqref="AA27:AA35">
    <cfRule type="containsBlanks" dxfId="147" priority="28">
      <formula>LEN(TRIM(AA27))=0</formula>
    </cfRule>
  </conditionalFormatting>
  <conditionalFormatting sqref="J6:J9 J11:J14">
    <cfRule type="containsBlanks" dxfId="146" priority="6">
      <formula>LEN(TRIM(J6))=0</formula>
    </cfRule>
  </conditionalFormatting>
  <conditionalFormatting sqref="J26 J36">
    <cfRule type="containsBlanks" dxfId="145" priority="7">
      <formula>LEN(TRIM(J26))=0</formula>
    </cfRule>
  </conditionalFormatting>
  <conditionalFormatting sqref="J16:J20">
    <cfRule type="containsBlanks" dxfId="144" priority="5">
      <formula>LEN(TRIM(J16))=0</formula>
    </cfRule>
  </conditionalFormatting>
  <conditionalFormatting sqref="J22:J25">
    <cfRule type="containsBlanks" dxfId="143" priority="4">
      <formula>LEN(TRIM(J22))=0</formula>
    </cfRule>
  </conditionalFormatting>
  <conditionalFormatting sqref="J27:J28 J30:J35">
    <cfRule type="containsBlanks" dxfId="142" priority="3">
      <formula>LEN(TRIM(J27))=0</formula>
    </cfRule>
  </conditionalFormatting>
  <conditionalFormatting sqref="J37:J49">
    <cfRule type="containsBlanks" dxfId="141" priority="2">
      <formula>LEN(TRIM(J37))=0</formula>
    </cfRule>
  </conditionalFormatting>
  <conditionalFormatting sqref="J29">
    <cfRule type="containsBlanks" dxfId="140" priority="1">
      <formula>LEN(TRIM(J29))=0</formula>
    </cfRule>
  </conditionalFormatting>
  <dataValidations count="1">
    <dataValidation type="whole" allowBlank="1" showInputMessage="1" showErrorMessage="1" errorTitle="ERROR!" error="Sorry, the value you entered is invalid! It must be 0 or 1." prompt="Value must be 1 if COD is between 1st  to 3rd, else 0." sqref="S6:U9 S11:U14 S16:U20 S22:U25 S27:U35 S37:U49">
      <formula1>0</formula1>
      <formula2>1</formula2>
    </dataValidation>
  </dataValidation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E55"/>
  <sheetViews>
    <sheetView workbookViewId="0">
      <pane xSplit="1" ySplit="5" topLeftCell="B6" activePane="bottomRight" state="frozen"/>
      <selection activeCell="C1" sqref="C1"/>
      <selection pane="topRight" activeCell="F1" sqref="F1"/>
      <selection pane="bottomLeft" activeCell="C6" sqref="C6"/>
      <selection pane="bottomRight" activeCell="H18" sqref="H18"/>
    </sheetView>
  </sheetViews>
  <sheetFormatPr defaultRowHeight="15" x14ac:dyDescent="0.25"/>
  <cols>
    <col min="1" max="1" width="23" style="1" customWidth="1"/>
    <col min="2" max="3" width="10.85546875" style="129" customWidth="1"/>
    <col min="4" max="4" width="12.42578125" style="129" customWidth="1"/>
    <col min="5" max="5" width="13.140625" style="129" customWidth="1"/>
    <col min="6" max="6" width="12.5703125" style="129" customWidth="1"/>
    <col min="7" max="7" width="15" style="129" customWidth="1"/>
    <col min="8" max="8" width="15.140625" style="129" customWidth="1"/>
    <col min="9" max="10" width="15.85546875" style="129" customWidth="1"/>
    <col min="11" max="11" width="15.28515625" style="129" customWidth="1"/>
    <col min="12" max="12" width="18.140625" style="129" customWidth="1"/>
    <col min="13" max="13" width="17.140625" style="129" customWidth="1"/>
    <col min="14" max="14" width="17.42578125" style="129" customWidth="1"/>
    <col min="15" max="15" width="16.5703125" style="129" customWidth="1"/>
    <col min="16" max="21" width="16.7109375" style="129" customWidth="1"/>
    <col min="22" max="23" width="17.28515625" style="129" customWidth="1"/>
    <col min="24" max="24" width="16.7109375" style="129" customWidth="1"/>
    <col min="25" max="26" width="15.28515625" style="129" customWidth="1"/>
    <col min="27" max="27" width="15.85546875" style="129" customWidth="1"/>
    <col min="28" max="28" width="18.7109375" style="129" customWidth="1"/>
    <col min="29" max="29" width="20.140625" style="129" customWidth="1"/>
    <col min="30" max="30" width="18.140625" style="129" customWidth="1"/>
    <col min="31" max="31" width="17.140625" style="129" customWidth="1"/>
    <col min="32" max="16384" width="9.140625" style="12"/>
  </cols>
  <sheetData>
    <row r="1" spans="1:31" s="5" customFormat="1" ht="14.25" customHeight="1" x14ac:dyDescent="0.2">
      <c r="A1" s="288"/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</row>
    <row r="2" spans="1:31" s="5" customFormat="1" ht="14.25" customHeight="1" x14ac:dyDescent="0.2">
      <c r="A2" s="288"/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</row>
    <row r="3" spans="1:31" s="5" customFormat="1" ht="14.25" customHeight="1" thickBot="1" x14ac:dyDescent="0.25">
      <c r="A3" s="288"/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</row>
    <row r="4" spans="1:31" s="1" customFormat="1" ht="18.75" thickBot="1" x14ac:dyDescent="0.3">
      <c r="A4" s="25"/>
      <c r="B4" s="289" t="s">
        <v>122</v>
      </c>
      <c r="C4" s="290"/>
      <c r="D4" s="290"/>
      <c r="E4" s="291"/>
      <c r="F4" s="285" t="s">
        <v>127</v>
      </c>
      <c r="G4" s="286"/>
      <c r="H4" s="286"/>
      <c r="I4" s="286"/>
      <c r="J4" s="286"/>
      <c r="K4" s="286"/>
      <c r="L4" s="286"/>
      <c r="M4" s="287"/>
      <c r="N4" s="285" t="s">
        <v>67</v>
      </c>
      <c r="O4" s="287"/>
      <c r="P4" s="285" t="s">
        <v>152</v>
      </c>
      <c r="Q4" s="286"/>
      <c r="R4" s="287"/>
      <c r="S4" s="285" t="s">
        <v>163</v>
      </c>
      <c r="T4" s="286"/>
      <c r="U4" s="286"/>
      <c r="V4" s="287"/>
      <c r="W4" s="285" t="s">
        <v>156</v>
      </c>
      <c r="X4" s="286"/>
      <c r="Y4" s="286"/>
      <c r="Z4" s="286"/>
      <c r="AA4" s="287"/>
      <c r="AB4" s="282" t="s">
        <v>181</v>
      </c>
      <c r="AC4" s="283"/>
      <c r="AD4" s="283"/>
      <c r="AE4" s="284"/>
    </row>
    <row r="5" spans="1:31" s="1" customFormat="1" ht="16.5" customHeight="1" x14ac:dyDescent="0.25">
      <c r="A5" s="28" t="s">
        <v>0</v>
      </c>
      <c r="B5" s="131" t="s">
        <v>7</v>
      </c>
      <c r="C5" s="132" t="s">
        <v>8</v>
      </c>
      <c r="D5" s="132" t="s">
        <v>9</v>
      </c>
      <c r="E5" s="132" t="s">
        <v>10</v>
      </c>
      <c r="F5" s="132" t="s">
        <v>187</v>
      </c>
      <c r="G5" s="132" t="s">
        <v>11</v>
      </c>
      <c r="H5" s="132" t="s">
        <v>125</v>
      </c>
      <c r="I5" s="132" t="s">
        <v>126</v>
      </c>
      <c r="J5" s="132" t="s">
        <v>188</v>
      </c>
      <c r="K5" s="132" t="s">
        <v>150</v>
      </c>
      <c r="L5" s="132" t="s">
        <v>12</v>
      </c>
      <c r="M5" s="132" t="s">
        <v>10</v>
      </c>
      <c r="N5" s="132" t="s">
        <v>13</v>
      </c>
      <c r="O5" s="29" t="s">
        <v>42</v>
      </c>
      <c r="P5" s="134" t="s">
        <v>153</v>
      </c>
      <c r="Q5" s="134" t="s">
        <v>155</v>
      </c>
      <c r="R5" s="135" t="s">
        <v>154</v>
      </c>
      <c r="S5" s="131" t="s">
        <v>159</v>
      </c>
      <c r="T5" s="200" t="s">
        <v>155</v>
      </c>
      <c r="U5" s="132" t="s">
        <v>154</v>
      </c>
      <c r="V5" s="136" t="s">
        <v>166</v>
      </c>
      <c r="W5" s="134" t="s">
        <v>161</v>
      </c>
      <c r="X5" s="134" t="s">
        <v>153</v>
      </c>
      <c r="Y5" s="134" t="s">
        <v>155</v>
      </c>
      <c r="Z5" s="135" t="s">
        <v>154</v>
      </c>
      <c r="AA5" s="136" t="s">
        <v>164</v>
      </c>
      <c r="AB5" s="131" t="s">
        <v>182</v>
      </c>
      <c r="AC5" s="132" t="s">
        <v>183</v>
      </c>
      <c r="AD5" s="132" t="s">
        <v>184</v>
      </c>
      <c r="AE5" s="29" t="s">
        <v>10</v>
      </c>
    </row>
    <row r="6" spans="1:31" s="1" customFormat="1" ht="15" customHeight="1" x14ac:dyDescent="0.2">
      <c r="A6" s="30" t="s">
        <v>1</v>
      </c>
      <c r="B6" s="137">
        <v>84</v>
      </c>
      <c r="C6" s="138">
        <v>93</v>
      </c>
      <c r="D6" s="138">
        <v>81</v>
      </c>
      <c r="E6" s="155">
        <f>SUM(B6:D6)</f>
        <v>258</v>
      </c>
      <c r="F6" s="139">
        <v>57150</v>
      </c>
      <c r="G6" s="139">
        <v>25300</v>
      </c>
      <c r="H6" s="147">
        <v>0</v>
      </c>
      <c r="I6" s="139">
        <v>1500</v>
      </c>
      <c r="J6" s="139">
        <v>0</v>
      </c>
      <c r="K6" s="138">
        <v>0</v>
      </c>
      <c r="L6" s="138">
        <v>0</v>
      </c>
      <c r="M6" s="163">
        <f>SUM(F6:L6)</f>
        <v>83950</v>
      </c>
      <c r="N6" s="138">
        <v>1</v>
      </c>
      <c r="O6" s="140">
        <v>2</v>
      </c>
      <c r="P6" s="138">
        <v>0</v>
      </c>
      <c r="Q6" s="138">
        <v>0</v>
      </c>
      <c r="R6" s="201">
        <v>0</v>
      </c>
      <c r="S6" s="137">
        <v>0</v>
      </c>
      <c r="T6" s="183">
        <v>0</v>
      </c>
      <c r="U6" s="138">
        <v>0</v>
      </c>
      <c r="V6" s="192">
        <f>SUM(S6:U6)</f>
        <v>0</v>
      </c>
      <c r="W6" s="138">
        <v>0</v>
      </c>
      <c r="X6" s="138">
        <v>0</v>
      </c>
      <c r="Y6" s="138">
        <v>0</v>
      </c>
      <c r="Z6" s="183">
        <v>0</v>
      </c>
      <c r="AA6" s="192" t="str">
        <f>IF(SUM(W6:Z6)&gt;0,AVERAGEIF(W6:Z6,"&lt;&gt;0"),"-")</f>
        <v>-</v>
      </c>
      <c r="AB6" s="142">
        <v>0</v>
      </c>
      <c r="AC6" s="138">
        <v>0</v>
      </c>
      <c r="AD6" s="138">
        <v>0</v>
      </c>
      <c r="AE6" s="123">
        <f>SUM(AB6:AD6)</f>
        <v>0</v>
      </c>
    </row>
    <row r="7" spans="1:31" s="1" customFormat="1" ht="15" customHeight="1" x14ac:dyDescent="0.2">
      <c r="A7" s="30" t="s">
        <v>2</v>
      </c>
      <c r="B7" s="137">
        <v>100</v>
      </c>
      <c r="C7" s="138">
        <v>102</v>
      </c>
      <c r="D7" s="138">
        <v>76</v>
      </c>
      <c r="E7" s="155">
        <f>SUM(B7:D7)</f>
        <v>278</v>
      </c>
      <c r="F7" s="141">
        <v>30270</v>
      </c>
      <c r="G7" s="139">
        <v>3000</v>
      </c>
      <c r="H7" s="147">
        <v>0</v>
      </c>
      <c r="I7" s="139">
        <v>2300</v>
      </c>
      <c r="J7" s="139">
        <v>0</v>
      </c>
      <c r="K7" s="138">
        <v>0</v>
      </c>
      <c r="L7" s="138">
        <f>400+23840</f>
        <v>24240</v>
      </c>
      <c r="M7" s="163">
        <f>SUM(F7:L7)</f>
        <v>59810</v>
      </c>
      <c r="N7" s="138">
        <v>0</v>
      </c>
      <c r="O7" s="140">
        <v>0</v>
      </c>
      <c r="P7" s="138">
        <v>0</v>
      </c>
      <c r="Q7" s="138">
        <v>0</v>
      </c>
      <c r="R7" s="183">
        <v>0</v>
      </c>
      <c r="S7" s="137">
        <v>0</v>
      </c>
      <c r="T7" s="183">
        <v>0</v>
      </c>
      <c r="U7" s="138">
        <v>0</v>
      </c>
      <c r="V7" s="192">
        <f t="shared" ref="V7:V49" si="0">SUM(S7:U7)</f>
        <v>0</v>
      </c>
      <c r="W7" s="138">
        <v>0</v>
      </c>
      <c r="X7" s="138">
        <v>0</v>
      </c>
      <c r="Y7" s="138">
        <v>0</v>
      </c>
      <c r="Z7" s="183">
        <v>0</v>
      </c>
      <c r="AA7" s="192" t="str">
        <f t="shared" ref="AA7:AA49" si="1">IF(SUM(W7:Z7)&gt;0,AVERAGEIF(W7:Z7,"&lt;&gt;0"),"-")</f>
        <v>-</v>
      </c>
      <c r="AB7" s="142">
        <v>0</v>
      </c>
      <c r="AC7" s="138">
        <v>0</v>
      </c>
      <c r="AD7" s="138">
        <v>0</v>
      </c>
      <c r="AE7" s="123">
        <f t="shared" ref="AE7:AE49" si="2">SUM(AB7:AD7)</f>
        <v>0</v>
      </c>
    </row>
    <row r="8" spans="1:31" s="1" customFormat="1" ht="15" customHeight="1" x14ac:dyDescent="0.2">
      <c r="A8" s="30" t="s">
        <v>5</v>
      </c>
      <c r="B8" s="146">
        <v>3</v>
      </c>
      <c r="C8" s="147">
        <v>6</v>
      </c>
      <c r="D8" s="147">
        <v>1</v>
      </c>
      <c r="E8" s="155">
        <f>SUM(B8:D8)</f>
        <v>10</v>
      </c>
      <c r="F8" s="147">
        <v>3450</v>
      </c>
      <c r="G8" s="147">
        <v>0</v>
      </c>
      <c r="H8" s="147">
        <v>0</v>
      </c>
      <c r="I8" s="147">
        <v>0</v>
      </c>
      <c r="J8" s="147">
        <v>0</v>
      </c>
      <c r="K8" s="147">
        <v>0</v>
      </c>
      <c r="L8" s="147">
        <v>0</v>
      </c>
      <c r="M8" s="163">
        <f>SUM(F8:L8)</f>
        <v>3450</v>
      </c>
      <c r="N8" s="147">
        <v>0</v>
      </c>
      <c r="O8" s="149">
        <v>0</v>
      </c>
      <c r="P8" s="147">
        <v>0</v>
      </c>
      <c r="Q8" s="147">
        <v>0</v>
      </c>
      <c r="R8" s="184">
        <v>0</v>
      </c>
      <c r="S8" s="137">
        <v>0</v>
      </c>
      <c r="T8" s="183">
        <v>0</v>
      </c>
      <c r="U8" s="138">
        <v>0</v>
      </c>
      <c r="V8" s="192">
        <f t="shared" si="0"/>
        <v>0</v>
      </c>
      <c r="W8" s="147">
        <v>0</v>
      </c>
      <c r="X8" s="147">
        <v>0</v>
      </c>
      <c r="Y8" s="147">
        <v>0</v>
      </c>
      <c r="Z8" s="184">
        <v>0</v>
      </c>
      <c r="AA8" s="192" t="str">
        <f t="shared" si="1"/>
        <v>-</v>
      </c>
      <c r="AB8" s="146">
        <v>0</v>
      </c>
      <c r="AC8" s="147">
        <v>0</v>
      </c>
      <c r="AD8" s="147">
        <v>0</v>
      </c>
      <c r="AE8" s="123">
        <f t="shared" si="2"/>
        <v>0</v>
      </c>
    </row>
    <row r="9" spans="1:31" s="1" customFormat="1" ht="15" customHeight="1" x14ac:dyDescent="0.2">
      <c r="A9" s="30" t="s">
        <v>6</v>
      </c>
      <c r="B9" s="146">
        <v>9</v>
      </c>
      <c r="C9" s="147">
        <v>7</v>
      </c>
      <c r="D9" s="147">
        <v>5</v>
      </c>
      <c r="E9" s="155">
        <f>SUM(B9:D9)</f>
        <v>21</v>
      </c>
      <c r="F9" s="147">
        <v>6750</v>
      </c>
      <c r="G9" s="147">
        <v>0</v>
      </c>
      <c r="H9" s="147">
        <v>0</v>
      </c>
      <c r="I9" s="147">
        <v>0</v>
      </c>
      <c r="J9" s="147">
        <v>0</v>
      </c>
      <c r="K9" s="147">
        <v>0</v>
      </c>
      <c r="L9" s="147">
        <v>0</v>
      </c>
      <c r="M9" s="163">
        <f>SUM(F9:L9)</f>
        <v>6750</v>
      </c>
      <c r="N9" s="147">
        <v>4</v>
      </c>
      <c r="O9" s="149">
        <v>0</v>
      </c>
      <c r="P9" s="147">
        <v>0</v>
      </c>
      <c r="Q9" s="147">
        <v>0</v>
      </c>
      <c r="R9" s="184">
        <v>0</v>
      </c>
      <c r="S9" s="137">
        <v>0</v>
      </c>
      <c r="T9" s="183">
        <v>0</v>
      </c>
      <c r="U9" s="138">
        <v>0</v>
      </c>
      <c r="V9" s="192">
        <f t="shared" si="0"/>
        <v>0</v>
      </c>
      <c r="W9" s="147">
        <v>0</v>
      </c>
      <c r="X9" s="147">
        <v>0</v>
      </c>
      <c r="Y9" s="147">
        <v>0</v>
      </c>
      <c r="Z9" s="184">
        <v>0</v>
      </c>
      <c r="AA9" s="192" t="str">
        <f t="shared" si="1"/>
        <v>-</v>
      </c>
      <c r="AB9" s="146">
        <v>0</v>
      </c>
      <c r="AC9" s="147">
        <v>0</v>
      </c>
      <c r="AD9" s="147">
        <v>0</v>
      </c>
      <c r="AE9" s="123">
        <f t="shared" si="2"/>
        <v>0</v>
      </c>
    </row>
    <row r="10" spans="1:31" s="1" customFormat="1" ht="15" customHeight="1" x14ac:dyDescent="0.2">
      <c r="A10" s="237"/>
      <c r="B10" s="170">
        <f t="shared" ref="B10:U10" si="3">SUM(B6:B9)</f>
        <v>196</v>
      </c>
      <c r="C10" s="156">
        <f t="shared" si="3"/>
        <v>208</v>
      </c>
      <c r="D10" s="156">
        <f t="shared" si="3"/>
        <v>163</v>
      </c>
      <c r="E10" s="156">
        <f t="shared" si="3"/>
        <v>567</v>
      </c>
      <c r="F10" s="156">
        <f t="shared" si="3"/>
        <v>97620</v>
      </c>
      <c r="G10" s="156">
        <f t="shared" si="3"/>
        <v>28300</v>
      </c>
      <c r="H10" s="156">
        <f t="shared" si="3"/>
        <v>0</v>
      </c>
      <c r="I10" s="156">
        <f t="shared" si="3"/>
        <v>3800</v>
      </c>
      <c r="J10" s="156">
        <f t="shared" si="3"/>
        <v>0</v>
      </c>
      <c r="K10" s="156">
        <f t="shared" si="3"/>
        <v>0</v>
      </c>
      <c r="L10" s="156">
        <f t="shared" si="3"/>
        <v>24240</v>
      </c>
      <c r="M10" s="156">
        <f t="shared" si="3"/>
        <v>153960</v>
      </c>
      <c r="N10" s="156">
        <f t="shared" si="3"/>
        <v>5</v>
      </c>
      <c r="O10" s="161">
        <f t="shared" si="3"/>
        <v>2</v>
      </c>
      <c r="P10" s="156">
        <f t="shared" si="3"/>
        <v>0</v>
      </c>
      <c r="Q10" s="156">
        <f t="shared" si="3"/>
        <v>0</v>
      </c>
      <c r="R10" s="173">
        <f t="shared" si="3"/>
        <v>0</v>
      </c>
      <c r="S10" s="194">
        <f t="shared" si="3"/>
        <v>0</v>
      </c>
      <c r="T10" s="173">
        <f t="shared" si="3"/>
        <v>0</v>
      </c>
      <c r="U10" s="156">
        <f t="shared" si="3"/>
        <v>0</v>
      </c>
      <c r="V10" s="161">
        <f>IF(SUM(V6:V9)&gt;0,AVERAGEIF(V6:V9,"&lt;&gt;0"),0)</f>
        <v>0</v>
      </c>
      <c r="W10" s="175">
        <f>SUM(W6:W9)</f>
        <v>0</v>
      </c>
      <c r="X10" s="156">
        <f>SUM(X6:X9)</f>
        <v>0</v>
      </c>
      <c r="Y10" s="156">
        <f>SUM(Y6:Y9)</f>
        <v>0</v>
      </c>
      <c r="Z10" s="171">
        <f>SUM(Z6:Z9)</f>
        <v>0</v>
      </c>
      <c r="AA10" s="161">
        <f>IF(SUM(AA6:AA9),AVERAGEIF(AA6:AA9,"&lt;&gt;0"),0)</f>
        <v>0</v>
      </c>
      <c r="AB10" s="194">
        <f>SUM(AB6:AB9)</f>
        <v>0</v>
      </c>
      <c r="AC10" s="156">
        <f>SUM(AC6:AC9)</f>
        <v>0</v>
      </c>
      <c r="AD10" s="156">
        <f>SUM(AD6:AD9)</f>
        <v>0</v>
      </c>
      <c r="AE10" s="161">
        <f>SUM(AE6:AE9)</f>
        <v>0</v>
      </c>
    </row>
    <row r="11" spans="1:31" s="1" customFormat="1" ht="15" customHeight="1" x14ac:dyDescent="0.2">
      <c r="A11" s="30" t="s">
        <v>65</v>
      </c>
      <c r="B11" s="146">
        <f>33+39</f>
        <v>72</v>
      </c>
      <c r="C11" s="147">
        <f>49+35</f>
        <v>84</v>
      </c>
      <c r="D11" s="147">
        <f>44+25</f>
        <v>69</v>
      </c>
      <c r="E11" s="155">
        <f>SUM(B11:D11)</f>
        <v>225</v>
      </c>
      <c r="F11" s="147">
        <v>26160</v>
      </c>
      <c r="G11" s="147">
        <v>4000</v>
      </c>
      <c r="H11" s="147">
        <v>0</v>
      </c>
      <c r="I11" s="147">
        <v>0</v>
      </c>
      <c r="J11" s="147">
        <v>0</v>
      </c>
      <c r="K11" s="147">
        <v>0</v>
      </c>
      <c r="L11" s="147">
        <v>0</v>
      </c>
      <c r="M11" s="163">
        <f>SUM(F11:L11)</f>
        <v>30160</v>
      </c>
      <c r="N11" s="147">
        <v>0</v>
      </c>
      <c r="O11" s="149">
        <v>0</v>
      </c>
      <c r="P11" s="147">
        <v>0</v>
      </c>
      <c r="Q11" s="147">
        <v>0</v>
      </c>
      <c r="R11" s="202">
        <v>0</v>
      </c>
      <c r="S11" s="137">
        <v>0</v>
      </c>
      <c r="T11" s="183">
        <v>0</v>
      </c>
      <c r="U11" s="138">
        <v>0</v>
      </c>
      <c r="V11" s="192">
        <f t="shared" si="0"/>
        <v>0</v>
      </c>
      <c r="W11" s="147">
        <v>0</v>
      </c>
      <c r="X11" s="147">
        <v>0</v>
      </c>
      <c r="Y11" s="147">
        <v>0</v>
      </c>
      <c r="Z11" s="184">
        <v>0</v>
      </c>
      <c r="AA11" s="192" t="str">
        <f t="shared" si="1"/>
        <v>-</v>
      </c>
      <c r="AB11" s="146">
        <v>0</v>
      </c>
      <c r="AC11" s="147">
        <v>0</v>
      </c>
      <c r="AD11" s="147">
        <v>0</v>
      </c>
      <c r="AE11" s="123">
        <f t="shared" si="2"/>
        <v>0</v>
      </c>
    </row>
    <row r="12" spans="1:31" s="1" customFormat="1" ht="15" customHeight="1" x14ac:dyDescent="0.2">
      <c r="A12" s="30" t="s">
        <v>4</v>
      </c>
      <c r="B12" s="146">
        <v>30</v>
      </c>
      <c r="C12" s="148">
        <v>50</v>
      </c>
      <c r="D12" s="147">
        <v>47</v>
      </c>
      <c r="E12" s="155">
        <f>SUM(B12:D12)</f>
        <v>127</v>
      </c>
      <c r="F12" s="147">
        <v>16300</v>
      </c>
      <c r="G12" s="147">
        <v>4450</v>
      </c>
      <c r="H12" s="147">
        <v>0</v>
      </c>
      <c r="I12" s="147">
        <v>0</v>
      </c>
      <c r="J12" s="147">
        <v>0</v>
      </c>
      <c r="K12" s="147">
        <v>0</v>
      </c>
      <c r="L12" s="147">
        <v>0</v>
      </c>
      <c r="M12" s="163">
        <f>SUM(F12:L12)</f>
        <v>20750</v>
      </c>
      <c r="N12" s="147">
        <v>4</v>
      </c>
      <c r="O12" s="149">
        <v>0</v>
      </c>
      <c r="P12" s="147">
        <v>0</v>
      </c>
      <c r="Q12" s="147">
        <v>0</v>
      </c>
      <c r="R12" s="184">
        <v>0</v>
      </c>
      <c r="S12" s="137">
        <v>0</v>
      </c>
      <c r="T12" s="183">
        <v>0</v>
      </c>
      <c r="U12" s="138">
        <v>0</v>
      </c>
      <c r="V12" s="192">
        <f t="shared" si="0"/>
        <v>0</v>
      </c>
      <c r="W12" s="147">
        <v>0</v>
      </c>
      <c r="X12" s="147">
        <v>0</v>
      </c>
      <c r="Y12" s="147">
        <v>0</v>
      </c>
      <c r="Z12" s="184">
        <v>0</v>
      </c>
      <c r="AA12" s="192" t="str">
        <f t="shared" si="1"/>
        <v>-</v>
      </c>
      <c r="AB12" s="146">
        <v>0</v>
      </c>
      <c r="AC12" s="147">
        <v>0</v>
      </c>
      <c r="AD12" s="147">
        <v>0</v>
      </c>
      <c r="AE12" s="123">
        <f t="shared" si="2"/>
        <v>0</v>
      </c>
    </row>
    <row r="13" spans="1:31" s="1" customFormat="1" ht="15" customHeight="1" x14ac:dyDescent="0.2">
      <c r="A13" s="30" t="s">
        <v>3</v>
      </c>
      <c r="B13" s="146">
        <v>20</v>
      </c>
      <c r="C13" s="147">
        <v>23</v>
      </c>
      <c r="D13" s="147">
        <v>29</v>
      </c>
      <c r="E13" s="155">
        <f>SUM(B13:D13)</f>
        <v>72</v>
      </c>
      <c r="F13" s="147">
        <f>22000+700+12450</f>
        <v>35150</v>
      </c>
      <c r="G13" s="147">
        <v>0</v>
      </c>
      <c r="H13" s="147">
        <v>0</v>
      </c>
      <c r="I13" s="147">
        <v>0</v>
      </c>
      <c r="J13" s="147">
        <v>0</v>
      </c>
      <c r="K13" s="147">
        <v>0</v>
      </c>
      <c r="L13" s="147">
        <v>0</v>
      </c>
      <c r="M13" s="163">
        <f>SUM(F13:L13)</f>
        <v>35150</v>
      </c>
      <c r="N13" s="147">
        <v>2</v>
      </c>
      <c r="O13" s="149">
        <v>0</v>
      </c>
      <c r="P13" s="147">
        <v>0</v>
      </c>
      <c r="Q13" s="147">
        <v>0</v>
      </c>
      <c r="R13" s="184">
        <v>0</v>
      </c>
      <c r="S13" s="137">
        <v>0</v>
      </c>
      <c r="T13" s="183">
        <v>0</v>
      </c>
      <c r="U13" s="138">
        <v>0</v>
      </c>
      <c r="V13" s="192">
        <f t="shared" si="0"/>
        <v>0</v>
      </c>
      <c r="W13" s="147">
        <v>0</v>
      </c>
      <c r="X13" s="147">
        <v>0</v>
      </c>
      <c r="Y13" s="147">
        <v>0</v>
      </c>
      <c r="Z13" s="184">
        <v>0</v>
      </c>
      <c r="AA13" s="192" t="str">
        <f t="shared" si="1"/>
        <v>-</v>
      </c>
      <c r="AB13" s="146">
        <v>0</v>
      </c>
      <c r="AC13" s="147">
        <v>0</v>
      </c>
      <c r="AD13" s="147">
        <v>0</v>
      </c>
      <c r="AE13" s="123">
        <f t="shared" si="2"/>
        <v>0</v>
      </c>
    </row>
    <row r="14" spans="1:31" s="1" customFormat="1" ht="15" customHeight="1" x14ac:dyDescent="0.2">
      <c r="A14" s="30" t="s">
        <v>107</v>
      </c>
      <c r="B14" s="146">
        <v>3</v>
      </c>
      <c r="C14" s="147">
        <v>4</v>
      </c>
      <c r="D14" s="147">
        <v>9</v>
      </c>
      <c r="E14" s="155">
        <f>SUM(B14:D14)</f>
        <v>16</v>
      </c>
      <c r="F14" s="147">
        <v>1200</v>
      </c>
      <c r="G14" s="147">
        <v>5000</v>
      </c>
      <c r="H14" s="147">
        <v>0</v>
      </c>
      <c r="I14" s="147">
        <v>0</v>
      </c>
      <c r="J14" s="147">
        <v>0</v>
      </c>
      <c r="K14" s="147">
        <v>0</v>
      </c>
      <c r="L14" s="147">
        <v>0</v>
      </c>
      <c r="M14" s="163">
        <f>SUM(F14:L14)</f>
        <v>6200</v>
      </c>
      <c r="N14" s="147">
        <v>2</v>
      </c>
      <c r="O14" s="149">
        <v>0</v>
      </c>
      <c r="P14" s="147">
        <v>0</v>
      </c>
      <c r="Q14" s="147">
        <v>0</v>
      </c>
      <c r="R14" s="184">
        <v>0</v>
      </c>
      <c r="S14" s="137">
        <v>0</v>
      </c>
      <c r="T14" s="183">
        <v>0</v>
      </c>
      <c r="U14" s="138">
        <v>0</v>
      </c>
      <c r="V14" s="192">
        <f t="shared" si="0"/>
        <v>0</v>
      </c>
      <c r="W14" s="147">
        <v>0</v>
      </c>
      <c r="X14" s="147">
        <v>0</v>
      </c>
      <c r="Y14" s="147">
        <v>0</v>
      </c>
      <c r="Z14" s="184">
        <v>0</v>
      </c>
      <c r="AA14" s="192" t="str">
        <f t="shared" si="1"/>
        <v>-</v>
      </c>
      <c r="AB14" s="146">
        <v>0</v>
      </c>
      <c r="AC14" s="147">
        <v>0</v>
      </c>
      <c r="AD14" s="147">
        <v>0</v>
      </c>
      <c r="AE14" s="123">
        <f t="shared" si="2"/>
        <v>0</v>
      </c>
    </row>
    <row r="15" spans="1:31" s="1" customFormat="1" ht="15" customHeight="1" x14ac:dyDescent="0.2">
      <c r="A15" s="236"/>
      <c r="B15" s="170">
        <f t="shared" ref="B15:U15" si="4">SUM(B11:B14)</f>
        <v>125</v>
      </c>
      <c r="C15" s="156">
        <f t="shared" si="4"/>
        <v>161</v>
      </c>
      <c r="D15" s="156">
        <f t="shared" si="4"/>
        <v>154</v>
      </c>
      <c r="E15" s="156">
        <f t="shared" si="4"/>
        <v>440</v>
      </c>
      <c r="F15" s="156">
        <f t="shared" si="4"/>
        <v>78810</v>
      </c>
      <c r="G15" s="156">
        <f t="shared" si="4"/>
        <v>13450</v>
      </c>
      <c r="H15" s="156">
        <f t="shared" si="4"/>
        <v>0</v>
      </c>
      <c r="I15" s="156">
        <f t="shared" si="4"/>
        <v>0</v>
      </c>
      <c r="J15" s="156">
        <f t="shared" si="4"/>
        <v>0</v>
      </c>
      <c r="K15" s="156">
        <f t="shared" si="4"/>
        <v>0</v>
      </c>
      <c r="L15" s="156">
        <f t="shared" si="4"/>
        <v>0</v>
      </c>
      <c r="M15" s="156">
        <f t="shared" si="4"/>
        <v>92260</v>
      </c>
      <c r="N15" s="156">
        <f t="shared" si="4"/>
        <v>8</v>
      </c>
      <c r="O15" s="161">
        <f t="shared" si="4"/>
        <v>0</v>
      </c>
      <c r="P15" s="156">
        <f t="shared" si="4"/>
        <v>0</v>
      </c>
      <c r="Q15" s="156">
        <f t="shared" si="4"/>
        <v>0</v>
      </c>
      <c r="R15" s="173">
        <f t="shared" si="4"/>
        <v>0</v>
      </c>
      <c r="S15" s="194">
        <f t="shared" si="4"/>
        <v>0</v>
      </c>
      <c r="T15" s="173">
        <f t="shared" si="4"/>
        <v>0</v>
      </c>
      <c r="U15" s="156">
        <f t="shared" si="4"/>
        <v>0</v>
      </c>
      <c r="V15" s="161">
        <f>IF(SUM(V11:V14)&gt;0,AVERAGEIF(V11:V14,"&lt;&gt;0"),0)</f>
        <v>0</v>
      </c>
      <c r="W15" s="156">
        <f>SUM(W11:W14)</f>
        <v>0</v>
      </c>
      <c r="X15" s="156">
        <f>SUM(X11:X14)</f>
        <v>0</v>
      </c>
      <c r="Y15" s="156">
        <f>SUM(Y11:Y14)</f>
        <v>0</v>
      </c>
      <c r="Z15" s="173">
        <f>SUM(Z11:Z14)</f>
        <v>0</v>
      </c>
      <c r="AA15" s="161">
        <f>IF(SUM(AA11:AA14),AVERAGEIF(AA11:AA14,"&lt;&gt;0"),0)</f>
        <v>0</v>
      </c>
      <c r="AB15" s="194">
        <f>SUM(AB11:AB14)</f>
        <v>0</v>
      </c>
      <c r="AC15" s="156">
        <f>SUM(AC11:AC14)</f>
        <v>0</v>
      </c>
      <c r="AD15" s="156">
        <f>SUM(AD11:AD14)</f>
        <v>0</v>
      </c>
      <c r="AE15" s="161">
        <f>SUM(AE11:AE14)</f>
        <v>0</v>
      </c>
    </row>
    <row r="16" spans="1:31" s="1" customFormat="1" ht="15" customHeight="1" x14ac:dyDescent="0.2">
      <c r="A16" s="30" t="s">
        <v>14</v>
      </c>
      <c r="B16" s="146">
        <v>58</v>
      </c>
      <c r="C16" s="147">
        <v>89</v>
      </c>
      <c r="D16" s="147">
        <v>87</v>
      </c>
      <c r="E16" s="155">
        <f>SUM(B16:D16)</f>
        <v>234</v>
      </c>
      <c r="F16" s="147">
        <v>41730</v>
      </c>
      <c r="G16" s="147">
        <v>35000</v>
      </c>
      <c r="H16" s="147">
        <v>0</v>
      </c>
      <c r="I16" s="147">
        <v>5900</v>
      </c>
      <c r="J16" s="147">
        <v>0</v>
      </c>
      <c r="K16" s="147">
        <v>0</v>
      </c>
      <c r="L16" s="147">
        <f>24350+1900</f>
        <v>26250</v>
      </c>
      <c r="M16" s="163">
        <f>SUM(F16:L16)</f>
        <v>108880</v>
      </c>
      <c r="N16" s="147">
        <v>5</v>
      </c>
      <c r="O16" s="149">
        <v>1</v>
      </c>
      <c r="P16" s="147">
        <v>0</v>
      </c>
      <c r="Q16" s="147">
        <v>0</v>
      </c>
      <c r="R16" s="202">
        <v>0</v>
      </c>
      <c r="S16" s="137">
        <v>0</v>
      </c>
      <c r="T16" s="183">
        <v>0</v>
      </c>
      <c r="U16" s="138">
        <v>0</v>
      </c>
      <c r="V16" s="192">
        <f t="shared" si="0"/>
        <v>0</v>
      </c>
      <c r="W16" s="147">
        <v>0</v>
      </c>
      <c r="X16" s="147">
        <v>0</v>
      </c>
      <c r="Y16" s="147">
        <v>0</v>
      </c>
      <c r="Z16" s="184">
        <v>0</v>
      </c>
      <c r="AA16" s="192" t="str">
        <f t="shared" si="1"/>
        <v>-</v>
      </c>
      <c r="AB16" s="146">
        <v>0</v>
      </c>
      <c r="AC16" s="147">
        <v>0</v>
      </c>
      <c r="AD16" s="147">
        <v>0</v>
      </c>
      <c r="AE16" s="123">
        <f t="shared" si="2"/>
        <v>0</v>
      </c>
    </row>
    <row r="17" spans="1:31" s="1" customFormat="1" ht="15" customHeight="1" x14ac:dyDescent="0.2">
      <c r="A17" s="30" t="s">
        <v>15</v>
      </c>
      <c r="B17" s="146">
        <v>64</v>
      </c>
      <c r="C17" s="147">
        <v>83</v>
      </c>
      <c r="D17" s="147">
        <v>110</v>
      </c>
      <c r="E17" s="155">
        <f>SUM(B17:D17)</f>
        <v>257</v>
      </c>
      <c r="F17" s="147">
        <v>24330</v>
      </c>
      <c r="G17" s="147">
        <v>28150</v>
      </c>
      <c r="H17" s="147">
        <v>0</v>
      </c>
      <c r="I17" s="147">
        <v>0</v>
      </c>
      <c r="J17" s="147">
        <v>0</v>
      </c>
      <c r="K17" s="147">
        <v>0</v>
      </c>
      <c r="L17" s="147">
        <f>2150+1600</f>
        <v>3750</v>
      </c>
      <c r="M17" s="163">
        <f>SUM(F17:L17)</f>
        <v>56230</v>
      </c>
      <c r="N17" s="147">
        <v>3</v>
      </c>
      <c r="O17" s="149">
        <v>10</v>
      </c>
      <c r="P17" s="147">
        <v>0</v>
      </c>
      <c r="Q17" s="147">
        <v>0</v>
      </c>
      <c r="R17" s="184">
        <v>0</v>
      </c>
      <c r="S17" s="137">
        <v>0</v>
      </c>
      <c r="T17" s="183">
        <v>0</v>
      </c>
      <c r="U17" s="138">
        <v>0</v>
      </c>
      <c r="V17" s="192">
        <f t="shared" si="0"/>
        <v>0</v>
      </c>
      <c r="W17" s="147">
        <v>0</v>
      </c>
      <c r="X17" s="147">
        <v>0</v>
      </c>
      <c r="Y17" s="147">
        <v>0</v>
      </c>
      <c r="Z17" s="184">
        <v>0</v>
      </c>
      <c r="AA17" s="192" t="str">
        <f t="shared" si="1"/>
        <v>-</v>
      </c>
      <c r="AB17" s="146">
        <v>0</v>
      </c>
      <c r="AC17" s="147">
        <v>0</v>
      </c>
      <c r="AD17" s="147">
        <v>0</v>
      </c>
      <c r="AE17" s="123">
        <f t="shared" si="2"/>
        <v>0</v>
      </c>
    </row>
    <row r="18" spans="1:31" s="1" customFormat="1" ht="15" customHeight="1" x14ac:dyDescent="0.2">
      <c r="A18" s="30" t="s">
        <v>16</v>
      </c>
      <c r="B18" s="146">
        <v>12</v>
      </c>
      <c r="C18" s="147">
        <v>22</v>
      </c>
      <c r="D18" s="147">
        <v>25</v>
      </c>
      <c r="E18" s="155">
        <f>SUM(B18:D18)</f>
        <v>59</v>
      </c>
      <c r="F18" s="147">
        <v>8770</v>
      </c>
      <c r="G18" s="147">
        <v>500</v>
      </c>
      <c r="H18" s="147">
        <v>0</v>
      </c>
      <c r="I18" s="147">
        <v>920</v>
      </c>
      <c r="J18" s="147">
        <v>0</v>
      </c>
      <c r="K18" s="147">
        <v>0</v>
      </c>
      <c r="L18" s="147">
        <v>1650</v>
      </c>
      <c r="M18" s="163">
        <f>SUM(F18:L18)</f>
        <v>11840</v>
      </c>
      <c r="N18" s="154">
        <v>4</v>
      </c>
      <c r="O18" s="149">
        <v>0</v>
      </c>
      <c r="P18" s="147">
        <v>0</v>
      </c>
      <c r="Q18" s="147">
        <v>0</v>
      </c>
      <c r="R18" s="184">
        <v>0</v>
      </c>
      <c r="S18" s="137">
        <v>0</v>
      </c>
      <c r="T18" s="183">
        <v>0</v>
      </c>
      <c r="U18" s="138">
        <v>0</v>
      </c>
      <c r="V18" s="192">
        <f t="shared" si="0"/>
        <v>0</v>
      </c>
      <c r="W18" s="147">
        <v>0</v>
      </c>
      <c r="X18" s="147">
        <v>0</v>
      </c>
      <c r="Y18" s="147">
        <v>0</v>
      </c>
      <c r="Z18" s="184">
        <v>0</v>
      </c>
      <c r="AA18" s="192" t="str">
        <f t="shared" si="1"/>
        <v>-</v>
      </c>
      <c r="AB18" s="146">
        <v>0</v>
      </c>
      <c r="AC18" s="147">
        <v>0</v>
      </c>
      <c r="AD18" s="147">
        <v>0</v>
      </c>
      <c r="AE18" s="123">
        <f t="shared" si="2"/>
        <v>0</v>
      </c>
    </row>
    <row r="19" spans="1:31" s="1" customFormat="1" ht="15" customHeight="1" x14ac:dyDescent="0.2">
      <c r="A19" s="30" t="s">
        <v>17</v>
      </c>
      <c r="B19" s="146">
        <v>4</v>
      </c>
      <c r="C19" s="147">
        <v>2</v>
      </c>
      <c r="D19" s="147">
        <v>3</v>
      </c>
      <c r="E19" s="155">
        <f>SUM(B19:D19)</f>
        <v>9</v>
      </c>
      <c r="F19" s="147">
        <v>2270</v>
      </c>
      <c r="G19" s="147">
        <v>14200</v>
      </c>
      <c r="H19" s="147">
        <v>0</v>
      </c>
      <c r="I19" s="147">
        <v>500</v>
      </c>
      <c r="J19" s="147">
        <v>0</v>
      </c>
      <c r="K19" s="147">
        <v>0</v>
      </c>
      <c r="L19" s="147">
        <v>0</v>
      </c>
      <c r="M19" s="163">
        <f>SUM(F19:L19)</f>
        <v>16970</v>
      </c>
      <c r="N19" s="147">
        <v>0</v>
      </c>
      <c r="O19" s="149">
        <v>0</v>
      </c>
      <c r="P19" s="147">
        <v>0</v>
      </c>
      <c r="Q19" s="147">
        <v>0</v>
      </c>
      <c r="R19" s="184">
        <v>0</v>
      </c>
      <c r="S19" s="137">
        <v>0</v>
      </c>
      <c r="T19" s="183">
        <v>0</v>
      </c>
      <c r="U19" s="138">
        <v>0</v>
      </c>
      <c r="V19" s="192">
        <f t="shared" si="0"/>
        <v>0</v>
      </c>
      <c r="W19" s="147">
        <v>0</v>
      </c>
      <c r="X19" s="147">
        <v>0</v>
      </c>
      <c r="Y19" s="147">
        <v>0</v>
      </c>
      <c r="Z19" s="184">
        <v>0</v>
      </c>
      <c r="AA19" s="192" t="str">
        <f t="shared" si="1"/>
        <v>-</v>
      </c>
      <c r="AB19" s="146">
        <v>0</v>
      </c>
      <c r="AC19" s="147">
        <v>0</v>
      </c>
      <c r="AD19" s="147">
        <v>0</v>
      </c>
      <c r="AE19" s="123">
        <f t="shared" si="2"/>
        <v>0</v>
      </c>
    </row>
    <row r="20" spans="1:31" s="1" customFormat="1" ht="15" customHeight="1" x14ac:dyDescent="0.2">
      <c r="A20" s="30" t="s">
        <v>18</v>
      </c>
      <c r="B20" s="146">
        <v>0</v>
      </c>
      <c r="C20" s="147">
        <v>0</v>
      </c>
      <c r="D20" s="147">
        <v>0</v>
      </c>
      <c r="E20" s="155">
        <f>SUM(B20:D20)</f>
        <v>0</v>
      </c>
      <c r="F20" s="147">
        <v>0</v>
      </c>
      <c r="G20" s="147">
        <v>0</v>
      </c>
      <c r="H20" s="147">
        <v>0</v>
      </c>
      <c r="I20" s="147">
        <v>0</v>
      </c>
      <c r="J20" s="147">
        <v>0</v>
      </c>
      <c r="K20" s="147">
        <v>0</v>
      </c>
      <c r="L20" s="147">
        <v>0</v>
      </c>
      <c r="M20" s="163">
        <f>SUM(F20:L20)</f>
        <v>0</v>
      </c>
      <c r="N20" s="147">
        <v>0</v>
      </c>
      <c r="O20" s="149">
        <v>0</v>
      </c>
      <c r="P20" s="147">
        <v>0</v>
      </c>
      <c r="Q20" s="147">
        <v>0</v>
      </c>
      <c r="R20" s="184">
        <v>0</v>
      </c>
      <c r="S20" s="137">
        <v>0</v>
      </c>
      <c r="T20" s="183">
        <v>0</v>
      </c>
      <c r="U20" s="138">
        <v>0</v>
      </c>
      <c r="V20" s="192">
        <f t="shared" si="0"/>
        <v>0</v>
      </c>
      <c r="W20" s="147">
        <v>0</v>
      </c>
      <c r="X20" s="147">
        <v>0</v>
      </c>
      <c r="Y20" s="147">
        <v>0</v>
      </c>
      <c r="Z20" s="184">
        <v>0</v>
      </c>
      <c r="AA20" s="192" t="str">
        <f t="shared" si="1"/>
        <v>-</v>
      </c>
      <c r="AB20" s="146">
        <v>0</v>
      </c>
      <c r="AC20" s="147">
        <v>0</v>
      </c>
      <c r="AD20" s="147">
        <v>0</v>
      </c>
      <c r="AE20" s="123">
        <f t="shared" si="2"/>
        <v>0</v>
      </c>
    </row>
    <row r="21" spans="1:31" s="1" customFormat="1" ht="15" customHeight="1" x14ac:dyDescent="0.2">
      <c r="A21" s="236"/>
      <c r="B21" s="158">
        <f t="shared" ref="B21:U21" si="5">SUM(B16:B20)</f>
        <v>138</v>
      </c>
      <c r="C21" s="157">
        <f t="shared" si="5"/>
        <v>196</v>
      </c>
      <c r="D21" s="159">
        <f t="shared" si="5"/>
        <v>225</v>
      </c>
      <c r="E21" s="157">
        <f t="shared" si="5"/>
        <v>559</v>
      </c>
      <c r="F21" s="157">
        <f t="shared" si="5"/>
        <v>77100</v>
      </c>
      <c r="G21" s="157">
        <f t="shared" si="5"/>
        <v>77850</v>
      </c>
      <c r="H21" s="157">
        <f t="shared" si="5"/>
        <v>0</v>
      </c>
      <c r="I21" s="157">
        <f t="shared" si="5"/>
        <v>7320</v>
      </c>
      <c r="J21" s="157">
        <f t="shared" si="5"/>
        <v>0</v>
      </c>
      <c r="K21" s="157">
        <f t="shared" si="5"/>
        <v>0</v>
      </c>
      <c r="L21" s="157">
        <f t="shared" si="5"/>
        <v>31650</v>
      </c>
      <c r="M21" s="157">
        <f t="shared" si="5"/>
        <v>193920</v>
      </c>
      <c r="N21" s="157">
        <f t="shared" si="5"/>
        <v>12</v>
      </c>
      <c r="O21" s="162">
        <f t="shared" si="5"/>
        <v>11</v>
      </c>
      <c r="P21" s="157">
        <f t="shared" si="5"/>
        <v>0</v>
      </c>
      <c r="Q21" s="157">
        <f t="shared" si="5"/>
        <v>0</v>
      </c>
      <c r="R21" s="159">
        <f t="shared" si="5"/>
        <v>0</v>
      </c>
      <c r="S21" s="160">
        <f t="shared" si="5"/>
        <v>0</v>
      </c>
      <c r="T21" s="159">
        <f t="shared" si="5"/>
        <v>0</v>
      </c>
      <c r="U21" s="157">
        <f t="shared" si="5"/>
        <v>0</v>
      </c>
      <c r="V21" s="161">
        <f>IF(SUM(V16:V20)&gt;0,AVERAGEIF(V16:V20,"&lt;&gt;0"),0)</f>
        <v>0</v>
      </c>
      <c r="W21" s="157">
        <f>SUM(W16:W20)</f>
        <v>0</v>
      </c>
      <c r="X21" s="157">
        <f>SUM(X16:X20)</f>
        <v>0</v>
      </c>
      <c r="Y21" s="157">
        <f>SUM(Y16:Y20)</f>
        <v>0</v>
      </c>
      <c r="Z21" s="159">
        <f>SUM(Z16:Z20)</f>
        <v>0</v>
      </c>
      <c r="AA21" s="161">
        <f>IF(SUM(AA16:AA20),AVERAGEIF(AA16:AA20,"&lt;&gt;0"),0)</f>
        <v>0</v>
      </c>
      <c r="AB21" s="160">
        <f>SUM(AB16:AB20)</f>
        <v>0</v>
      </c>
      <c r="AC21" s="157">
        <f>SUM(AC16:AC20)</f>
        <v>0</v>
      </c>
      <c r="AD21" s="157">
        <f>SUM(AD16:AD20)</f>
        <v>0</v>
      </c>
      <c r="AE21" s="162">
        <f>SUM(AE16:AE20)</f>
        <v>0</v>
      </c>
    </row>
    <row r="22" spans="1:31" s="1" customFormat="1" ht="15" customHeight="1" x14ac:dyDescent="0.2">
      <c r="A22" s="30" t="s">
        <v>19</v>
      </c>
      <c r="B22" s="142">
        <v>15</v>
      </c>
      <c r="C22" s="139">
        <v>37</v>
      </c>
      <c r="D22" s="139">
        <v>45</v>
      </c>
      <c r="E22" s="155">
        <f>SUM(B22:D22)</f>
        <v>97</v>
      </c>
      <c r="F22" s="139">
        <v>6090</v>
      </c>
      <c r="G22" s="139">
        <v>20900</v>
      </c>
      <c r="H22" s="147">
        <v>0</v>
      </c>
      <c r="I22" s="139">
        <v>1220</v>
      </c>
      <c r="J22" s="139">
        <v>0</v>
      </c>
      <c r="K22" s="139">
        <v>0</v>
      </c>
      <c r="L22" s="139">
        <v>3950</v>
      </c>
      <c r="M22" s="163">
        <f>SUM(F22:L22)</f>
        <v>32160</v>
      </c>
      <c r="N22" s="139">
        <v>0</v>
      </c>
      <c r="O22" s="143">
        <v>0</v>
      </c>
      <c r="P22" s="139">
        <v>0</v>
      </c>
      <c r="Q22" s="139">
        <v>0</v>
      </c>
      <c r="R22" s="185">
        <v>0</v>
      </c>
      <c r="S22" s="137">
        <v>0</v>
      </c>
      <c r="T22" s="183">
        <v>0</v>
      </c>
      <c r="U22" s="138">
        <v>0</v>
      </c>
      <c r="V22" s="192">
        <f t="shared" si="0"/>
        <v>0</v>
      </c>
      <c r="W22" s="139">
        <v>0</v>
      </c>
      <c r="X22" s="139">
        <v>0</v>
      </c>
      <c r="Y22" s="139">
        <v>0</v>
      </c>
      <c r="Z22" s="185">
        <v>0</v>
      </c>
      <c r="AA22" s="192" t="str">
        <f t="shared" si="1"/>
        <v>-</v>
      </c>
      <c r="AB22" s="142">
        <v>0</v>
      </c>
      <c r="AC22" s="139">
        <v>0</v>
      </c>
      <c r="AD22" s="139">
        <v>0</v>
      </c>
      <c r="AE22" s="123">
        <f t="shared" si="2"/>
        <v>0</v>
      </c>
    </row>
    <row r="23" spans="1:31" s="1" customFormat="1" ht="15" customHeight="1" x14ac:dyDescent="0.2">
      <c r="A23" s="30" t="s">
        <v>20</v>
      </c>
      <c r="B23" s="142">
        <v>0</v>
      </c>
      <c r="C23" s="139">
        <v>0</v>
      </c>
      <c r="D23" s="139">
        <v>0</v>
      </c>
      <c r="E23" s="155">
        <f>SUM(B23:D23)</f>
        <v>0</v>
      </c>
      <c r="F23" s="139">
        <v>0</v>
      </c>
      <c r="G23" s="139">
        <v>0</v>
      </c>
      <c r="H23" s="147">
        <v>0</v>
      </c>
      <c r="I23" s="139">
        <v>0</v>
      </c>
      <c r="J23" s="139">
        <v>0</v>
      </c>
      <c r="K23" s="139">
        <v>0</v>
      </c>
      <c r="L23" s="139">
        <v>0</v>
      </c>
      <c r="M23" s="163">
        <f>SUM(F23:L23)</f>
        <v>0</v>
      </c>
      <c r="N23" s="139">
        <v>0</v>
      </c>
      <c r="O23" s="143">
        <v>0</v>
      </c>
      <c r="P23" s="139">
        <v>0</v>
      </c>
      <c r="Q23" s="139">
        <v>0</v>
      </c>
      <c r="R23" s="185">
        <v>0</v>
      </c>
      <c r="S23" s="137">
        <v>0</v>
      </c>
      <c r="T23" s="183">
        <v>0</v>
      </c>
      <c r="U23" s="138">
        <v>0</v>
      </c>
      <c r="V23" s="192">
        <f t="shared" si="0"/>
        <v>0</v>
      </c>
      <c r="W23" s="139">
        <v>0</v>
      </c>
      <c r="X23" s="139">
        <v>0</v>
      </c>
      <c r="Y23" s="139">
        <v>0</v>
      </c>
      <c r="Z23" s="185">
        <v>0</v>
      </c>
      <c r="AA23" s="192" t="str">
        <f t="shared" si="1"/>
        <v>-</v>
      </c>
      <c r="AB23" s="142">
        <v>0</v>
      </c>
      <c r="AC23" s="139">
        <v>0</v>
      </c>
      <c r="AD23" s="139">
        <v>0</v>
      </c>
      <c r="AE23" s="123">
        <f t="shared" si="2"/>
        <v>0</v>
      </c>
    </row>
    <row r="24" spans="1:31" s="1" customFormat="1" ht="15" customHeight="1" x14ac:dyDescent="0.2">
      <c r="A24" s="30" t="s">
        <v>21</v>
      </c>
      <c r="B24" s="142">
        <v>40</v>
      </c>
      <c r="C24" s="139">
        <v>63</v>
      </c>
      <c r="D24" s="139">
        <v>66</v>
      </c>
      <c r="E24" s="155">
        <f>SUM(B24:D24)</f>
        <v>169</v>
      </c>
      <c r="F24" s="139">
        <v>22800</v>
      </c>
      <c r="G24" s="139">
        <v>7450</v>
      </c>
      <c r="H24" s="147">
        <v>0</v>
      </c>
      <c r="I24" s="139">
        <v>9250</v>
      </c>
      <c r="J24" s="139">
        <v>0</v>
      </c>
      <c r="K24" s="139">
        <v>0</v>
      </c>
      <c r="L24" s="139">
        <v>22250</v>
      </c>
      <c r="M24" s="163">
        <f>SUM(F24:L24)</f>
        <v>61750</v>
      </c>
      <c r="N24" s="139">
        <v>3</v>
      </c>
      <c r="O24" s="143">
        <v>0</v>
      </c>
      <c r="P24" s="139">
        <v>0</v>
      </c>
      <c r="Q24" s="139">
        <v>0</v>
      </c>
      <c r="R24" s="185">
        <v>0</v>
      </c>
      <c r="S24" s="137">
        <v>0</v>
      </c>
      <c r="T24" s="183">
        <v>0</v>
      </c>
      <c r="U24" s="138">
        <v>0</v>
      </c>
      <c r="V24" s="192">
        <f t="shared" si="0"/>
        <v>0</v>
      </c>
      <c r="W24" s="139">
        <v>0</v>
      </c>
      <c r="X24" s="139">
        <v>0</v>
      </c>
      <c r="Y24" s="139">
        <v>0</v>
      </c>
      <c r="Z24" s="185">
        <v>0</v>
      </c>
      <c r="AA24" s="192" t="str">
        <f t="shared" si="1"/>
        <v>-</v>
      </c>
      <c r="AB24" s="142">
        <v>0</v>
      </c>
      <c r="AC24" s="139">
        <v>0</v>
      </c>
      <c r="AD24" s="139">
        <v>0</v>
      </c>
      <c r="AE24" s="123">
        <f t="shared" si="2"/>
        <v>0</v>
      </c>
    </row>
    <row r="25" spans="1:31" s="1" customFormat="1" ht="15" customHeight="1" x14ac:dyDescent="0.2">
      <c r="A25" s="30" t="s">
        <v>109</v>
      </c>
      <c r="B25" s="142">
        <v>7</v>
      </c>
      <c r="C25" s="139">
        <v>10</v>
      </c>
      <c r="D25" s="139">
        <v>15</v>
      </c>
      <c r="E25" s="155">
        <f>SUM(B25:D25)</f>
        <v>32</v>
      </c>
      <c r="F25" s="139">
        <v>3120</v>
      </c>
      <c r="G25" s="139">
        <v>1000</v>
      </c>
      <c r="H25" s="147">
        <v>0</v>
      </c>
      <c r="I25" s="139">
        <v>0</v>
      </c>
      <c r="J25" s="139">
        <v>0</v>
      </c>
      <c r="K25" s="139">
        <v>0</v>
      </c>
      <c r="L25" s="139">
        <v>0</v>
      </c>
      <c r="M25" s="163">
        <f>SUM(F25:L25)</f>
        <v>4120</v>
      </c>
      <c r="N25" s="139">
        <v>3</v>
      </c>
      <c r="O25" s="143">
        <v>3</v>
      </c>
      <c r="P25" s="139">
        <v>0</v>
      </c>
      <c r="Q25" s="139">
        <v>0</v>
      </c>
      <c r="R25" s="185">
        <v>0</v>
      </c>
      <c r="S25" s="137">
        <v>0</v>
      </c>
      <c r="T25" s="183">
        <v>0</v>
      </c>
      <c r="U25" s="138">
        <v>0</v>
      </c>
      <c r="V25" s="192">
        <f t="shared" si="0"/>
        <v>0</v>
      </c>
      <c r="W25" s="139">
        <v>0</v>
      </c>
      <c r="X25" s="139">
        <v>0</v>
      </c>
      <c r="Y25" s="139">
        <v>0</v>
      </c>
      <c r="Z25" s="185">
        <v>0</v>
      </c>
      <c r="AA25" s="192" t="str">
        <f t="shared" si="1"/>
        <v>-</v>
      </c>
      <c r="AB25" s="142">
        <v>0</v>
      </c>
      <c r="AC25" s="139">
        <v>0</v>
      </c>
      <c r="AD25" s="139">
        <v>0</v>
      </c>
      <c r="AE25" s="123">
        <f t="shared" si="2"/>
        <v>0</v>
      </c>
    </row>
    <row r="26" spans="1:31" s="1" customFormat="1" ht="15" customHeight="1" x14ac:dyDescent="0.2">
      <c r="A26" s="236"/>
      <c r="B26" s="160">
        <f t="shared" ref="B26:U26" si="6">SUM(B22:B25)</f>
        <v>62</v>
      </c>
      <c r="C26" s="157">
        <f t="shared" si="6"/>
        <v>110</v>
      </c>
      <c r="D26" s="157">
        <f t="shared" si="6"/>
        <v>126</v>
      </c>
      <c r="E26" s="157">
        <f t="shared" si="6"/>
        <v>298</v>
      </c>
      <c r="F26" s="157">
        <f t="shared" si="6"/>
        <v>32010</v>
      </c>
      <c r="G26" s="157">
        <f t="shared" si="6"/>
        <v>29350</v>
      </c>
      <c r="H26" s="157">
        <f t="shared" si="6"/>
        <v>0</v>
      </c>
      <c r="I26" s="157">
        <f t="shared" si="6"/>
        <v>10470</v>
      </c>
      <c r="J26" s="157">
        <f t="shared" si="6"/>
        <v>0</v>
      </c>
      <c r="K26" s="157">
        <f t="shared" si="6"/>
        <v>0</v>
      </c>
      <c r="L26" s="157">
        <f t="shared" si="6"/>
        <v>26200</v>
      </c>
      <c r="M26" s="157">
        <f t="shared" si="6"/>
        <v>98030</v>
      </c>
      <c r="N26" s="157">
        <f t="shared" si="6"/>
        <v>6</v>
      </c>
      <c r="O26" s="162">
        <f t="shared" si="6"/>
        <v>3</v>
      </c>
      <c r="P26" s="157">
        <f t="shared" si="6"/>
        <v>0</v>
      </c>
      <c r="Q26" s="157">
        <f t="shared" si="6"/>
        <v>0</v>
      </c>
      <c r="R26" s="159">
        <f t="shared" si="6"/>
        <v>0</v>
      </c>
      <c r="S26" s="160">
        <f t="shared" si="6"/>
        <v>0</v>
      </c>
      <c r="T26" s="159">
        <f t="shared" si="6"/>
        <v>0</v>
      </c>
      <c r="U26" s="157">
        <f t="shared" si="6"/>
        <v>0</v>
      </c>
      <c r="V26" s="161">
        <f>IF(SUM(V22:V25)&gt;0,AVERAGEIF(V22:V25,"&lt;&gt;0"),0)</f>
        <v>0</v>
      </c>
      <c r="W26" s="157">
        <f>SUM(W22:W25)</f>
        <v>0</v>
      </c>
      <c r="X26" s="157">
        <f>SUM(X22:X25)</f>
        <v>0</v>
      </c>
      <c r="Y26" s="157">
        <f>SUM(Y22:Y25)</f>
        <v>0</v>
      </c>
      <c r="Z26" s="159">
        <f>SUM(Z22:Z25)</f>
        <v>0</v>
      </c>
      <c r="AA26" s="161">
        <f>IF(SUM(AA22:AA25),AVERAGEIF(AA22:AA25,"&lt;&gt;0"),0)</f>
        <v>0</v>
      </c>
      <c r="AB26" s="160">
        <f>SUM(AB22:AB25)</f>
        <v>0</v>
      </c>
      <c r="AC26" s="157">
        <f>SUM(AC22:AC25)</f>
        <v>0</v>
      </c>
      <c r="AD26" s="157">
        <f>SUM(AD22:AD25)</f>
        <v>0</v>
      </c>
      <c r="AE26" s="162">
        <f>SUM(AE22:AE25)</f>
        <v>0</v>
      </c>
    </row>
    <row r="27" spans="1:31" s="1" customFormat="1" ht="15" customHeight="1" x14ac:dyDescent="0.2">
      <c r="A27" s="30" t="s">
        <v>108</v>
      </c>
      <c r="B27" s="137">
        <v>27</v>
      </c>
      <c r="C27" s="138">
        <v>30</v>
      </c>
      <c r="D27" s="138">
        <v>41</v>
      </c>
      <c r="E27" s="155">
        <f t="shared" ref="E27:E35" si="7">SUM(B27:D27)</f>
        <v>98</v>
      </c>
      <c r="F27" s="139">
        <v>9740</v>
      </c>
      <c r="G27" s="139">
        <v>6300</v>
      </c>
      <c r="H27" s="147">
        <v>0</v>
      </c>
      <c r="I27" s="139">
        <v>0</v>
      </c>
      <c r="J27" s="139">
        <v>0</v>
      </c>
      <c r="K27" s="139">
        <v>0</v>
      </c>
      <c r="L27" s="139">
        <v>4670</v>
      </c>
      <c r="M27" s="163">
        <f t="shared" ref="M27:M35" si="8">SUM(F27:L27)</f>
        <v>20710</v>
      </c>
      <c r="N27" s="138">
        <v>2</v>
      </c>
      <c r="O27" s="140">
        <v>2</v>
      </c>
      <c r="P27" s="138">
        <v>0</v>
      </c>
      <c r="Q27" s="138">
        <v>0</v>
      </c>
      <c r="R27" s="183">
        <v>0</v>
      </c>
      <c r="S27" s="137">
        <v>0</v>
      </c>
      <c r="T27" s="183">
        <v>0</v>
      </c>
      <c r="U27" s="138">
        <v>0</v>
      </c>
      <c r="V27" s="192">
        <f t="shared" si="0"/>
        <v>0</v>
      </c>
      <c r="W27" s="138">
        <v>0</v>
      </c>
      <c r="X27" s="138">
        <v>0</v>
      </c>
      <c r="Y27" s="138">
        <v>0</v>
      </c>
      <c r="Z27" s="183">
        <v>0</v>
      </c>
      <c r="AA27" s="192" t="str">
        <f t="shared" si="1"/>
        <v>-</v>
      </c>
      <c r="AB27" s="142">
        <v>0</v>
      </c>
      <c r="AC27" s="139">
        <v>0</v>
      </c>
      <c r="AD27" s="139">
        <v>0</v>
      </c>
      <c r="AE27" s="123">
        <f t="shared" si="2"/>
        <v>0</v>
      </c>
    </row>
    <row r="28" spans="1:31" s="1" customFormat="1" ht="15" customHeight="1" x14ac:dyDescent="0.2">
      <c r="A28" s="30" t="s">
        <v>22</v>
      </c>
      <c r="B28" s="146">
        <v>3</v>
      </c>
      <c r="C28" s="147">
        <v>15</v>
      </c>
      <c r="D28" s="147">
        <v>20</v>
      </c>
      <c r="E28" s="155">
        <f t="shared" si="7"/>
        <v>38</v>
      </c>
      <c r="F28" s="147">
        <v>1810</v>
      </c>
      <c r="G28" s="147">
        <v>2000</v>
      </c>
      <c r="H28" s="147">
        <v>0</v>
      </c>
      <c r="I28" s="147">
        <v>0</v>
      </c>
      <c r="J28" s="147">
        <v>0</v>
      </c>
      <c r="K28" s="147">
        <v>0</v>
      </c>
      <c r="L28" s="147">
        <v>0</v>
      </c>
      <c r="M28" s="163">
        <f t="shared" si="8"/>
        <v>3810</v>
      </c>
      <c r="N28" s="147">
        <v>5</v>
      </c>
      <c r="O28" s="149">
        <v>0</v>
      </c>
      <c r="P28" s="147">
        <v>0</v>
      </c>
      <c r="Q28" s="147">
        <v>0</v>
      </c>
      <c r="R28" s="184">
        <v>0</v>
      </c>
      <c r="S28" s="137">
        <v>0</v>
      </c>
      <c r="T28" s="183">
        <v>0</v>
      </c>
      <c r="U28" s="138">
        <v>0</v>
      </c>
      <c r="V28" s="192">
        <f t="shared" si="0"/>
        <v>0</v>
      </c>
      <c r="W28" s="147">
        <v>0</v>
      </c>
      <c r="X28" s="147">
        <v>0</v>
      </c>
      <c r="Y28" s="147">
        <v>0</v>
      </c>
      <c r="Z28" s="184">
        <v>0</v>
      </c>
      <c r="AA28" s="192" t="str">
        <f t="shared" si="1"/>
        <v>-</v>
      </c>
      <c r="AB28" s="146">
        <v>0</v>
      </c>
      <c r="AC28" s="147">
        <v>0</v>
      </c>
      <c r="AD28" s="147">
        <v>0</v>
      </c>
      <c r="AE28" s="123">
        <f t="shared" si="2"/>
        <v>0</v>
      </c>
    </row>
    <row r="29" spans="1:31" s="1" customFormat="1" ht="15" customHeight="1" x14ac:dyDescent="0.2">
      <c r="A29" s="30" t="s">
        <v>23</v>
      </c>
      <c r="B29" s="146">
        <v>26</v>
      </c>
      <c r="C29" s="147">
        <v>45</v>
      </c>
      <c r="D29" s="147">
        <v>45</v>
      </c>
      <c r="E29" s="155">
        <f t="shared" si="7"/>
        <v>116</v>
      </c>
      <c r="F29" s="147">
        <v>10250</v>
      </c>
      <c r="G29" s="147">
        <v>0</v>
      </c>
      <c r="H29" s="147">
        <v>0</v>
      </c>
      <c r="I29" s="147">
        <v>1800</v>
      </c>
      <c r="J29" s="147">
        <v>0</v>
      </c>
      <c r="K29" s="147">
        <v>0</v>
      </c>
      <c r="L29" s="147">
        <f>1400+2450</f>
        <v>3850</v>
      </c>
      <c r="M29" s="163">
        <f t="shared" si="8"/>
        <v>15900</v>
      </c>
      <c r="N29" s="147">
        <v>10</v>
      </c>
      <c r="O29" s="149">
        <v>7</v>
      </c>
      <c r="P29" s="147">
        <v>0</v>
      </c>
      <c r="Q29" s="147">
        <v>0</v>
      </c>
      <c r="R29" s="184">
        <v>0</v>
      </c>
      <c r="S29" s="137">
        <v>0</v>
      </c>
      <c r="T29" s="183">
        <v>0</v>
      </c>
      <c r="U29" s="138">
        <v>0</v>
      </c>
      <c r="V29" s="192">
        <f t="shared" si="0"/>
        <v>0</v>
      </c>
      <c r="W29" s="147">
        <v>0</v>
      </c>
      <c r="X29" s="147">
        <v>0</v>
      </c>
      <c r="Y29" s="147">
        <v>0</v>
      </c>
      <c r="Z29" s="184">
        <v>0</v>
      </c>
      <c r="AA29" s="192" t="str">
        <f t="shared" si="1"/>
        <v>-</v>
      </c>
      <c r="AB29" s="146">
        <v>0</v>
      </c>
      <c r="AC29" s="147">
        <v>0</v>
      </c>
      <c r="AD29" s="147">
        <v>0</v>
      </c>
      <c r="AE29" s="123">
        <f t="shared" si="2"/>
        <v>0</v>
      </c>
    </row>
    <row r="30" spans="1:31" s="1" customFormat="1" ht="15" customHeight="1" x14ac:dyDescent="0.2">
      <c r="A30" s="30" t="s">
        <v>24</v>
      </c>
      <c r="B30" s="146">
        <v>15</v>
      </c>
      <c r="C30" s="147">
        <v>22</v>
      </c>
      <c r="D30" s="147">
        <v>40</v>
      </c>
      <c r="E30" s="155">
        <f t="shared" si="7"/>
        <v>77</v>
      </c>
      <c r="F30" s="150">
        <v>4280</v>
      </c>
      <c r="G30" s="150">
        <v>4300</v>
      </c>
      <c r="H30" s="147">
        <v>0</v>
      </c>
      <c r="I30" s="150">
        <v>0</v>
      </c>
      <c r="J30" s="150">
        <v>0</v>
      </c>
      <c r="K30" s="150">
        <v>700</v>
      </c>
      <c r="L30" s="150">
        <v>0</v>
      </c>
      <c r="M30" s="163">
        <f t="shared" si="8"/>
        <v>9280</v>
      </c>
      <c r="N30" s="147">
        <v>6</v>
      </c>
      <c r="O30" s="149">
        <v>0</v>
      </c>
      <c r="P30" s="147">
        <v>0</v>
      </c>
      <c r="Q30" s="147">
        <v>0</v>
      </c>
      <c r="R30" s="184">
        <v>0</v>
      </c>
      <c r="S30" s="137">
        <v>0</v>
      </c>
      <c r="T30" s="183">
        <v>0</v>
      </c>
      <c r="U30" s="138">
        <v>0</v>
      </c>
      <c r="V30" s="192">
        <f t="shared" si="0"/>
        <v>0</v>
      </c>
      <c r="W30" s="147">
        <v>0</v>
      </c>
      <c r="X30" s="147">
        <v>0</v>
      </c>
      <c r="Y30" s="147">
        <v>0</v>
      </c>
      <c r="Z30" s="184">
        <v>0</v>
      </c>
      <c r="AA30" s="192" t="str">
        <f t="shared" si="1"/>
        <v>-</v>
      </c>
      <c r="AB30" s="125">
        <v>0</v>
      </c>
      <c r="AC30" s="150">
        <v>0</v>
      </c>
      <c r="AD30" s="150">
        <v>0</v>
      </c>
      <c r="AE30" s="123">
        <f t="shared" si="2"/>
        <v>0</v>
      </c>
    </row>
    <row r="31" spans="1:31" s="1" customFormat="1" ht="14.25" customHeight="1" x14ac:dyDescent="0.2">
      <c r="A31" s="30" t="s">
        <v>106</v>
      </c>
      <c r="B31" s="146">
        <v>6</v>
      </c>
      <c r="C31" s="147">
        <v>13</v>
      </c>
      <c r="D31" s="147">
        <v>20</v>
      </c>
      <c r="E31" s="155">
        <f t="shared" si="7"/>
        <v>39</v>
      </c>
      <c r="F31" s="147">
        <v>3310</v>
      </c>
      <c r="G31" s="147">
        <v>0</v>
      </c>
      <c r="H31" s="147">
        <v>0</v>
      </c>
      <c r="I31" s="147">
        <v>570</v>
      </c>
      <c r="J31" s="147">
        <v>0</v>
      </c>
      <c r="K31" s="147">
        <v>0</v>
      </c>
      <c r="L31" s="147">
        <v>4150</v>
      </c>
      <c r="M31" s="163">
        <f t="shared" si="8"/>
        <v>8030</v>
      </c>
      <c r="N31" s="147">
        <v>3</v>
      </c>
      <c r="O31" s="149">
        <v>0</v>
      </c>
      <c r="P31" s="147">
        <v>0</v>
      </c>
      <c r="Q31" s="147">
        <v>0</v>
      </c>
      <c r="R31" s="184">
        <v>0</v>
      </c>
      <c r="S31" s="137">
        <v>0</v>
      </c>
      <c r="T31" s="183">
        <v>0</v>
      </c>
      <c r="U31" s="138">
        <v>0</v>
      </c>
      <c r="V31" s="192">
        <f t="shared" si="0"/>
        <v>0</v>
      </c>
      <c r="W31" s="147">
        <v>0</v>
      </c>
      <c r="X31" s="147">
        <v>0</v>
      </c>
      <c r="Y31" s="147">
        <v>0</v>
      </c>
      <c r="Z31" s="184">
        <v>0</v>
      </c>
      <c r="AA31" s="192" t="str">
        <f t="shared" si="1"/>
        <v>-</v>
      </c>
      <c r="AB31" s="146">
        <v>0</v>
      </c>
      <c r="AC31" s="147">
        <v>0</v>
      </c>
      <c r="AD31" s="147">
        <v>0</v>
      </c>
      <c r="AE31" s="123">
        <f t="shared" si="2"/>
        <v>0</v>
      </c>
    </row>
    <row r="32" spans="1:31" s="1" customFormat="1" ht="14.25" customHeight="1" x14ac:dyDescent="0.2">
      <c r="A32" s="30" t="s">
        <v>25</v>
      </c>
      <c r="B32" s="146">
        <v>19</v>
      </c>
      <c r="C32" s="147">
        <v>9</v>
      </c>
      <c r="D32" s="147">
        <v>52</v>
      </c>
      <c r="E32" s="155">
        <f t="shared" si="7"/>
        <v>80</v>
      </c>
      <c r="F32" s="147">
        <v>3200</v>
      </c>
      <c r="G32" s="147">
        <v>5300</v>
      </c>
      <c r="H32" s="147">
        <v>0</v>
      </c>
      <c r="I32" s="147">
        <v>0</v>
      </c>
      <c r="J32" s="147">
        <v>0</v>
      </c>
      <c r="K32" s="147">
        <v>0</v>
      </c>
      <c r="L32" s="147">
        <v>0</v>
      </c>
      <c r="M32" s="163">
        <f t="shared" si="8"/>
        <v>8500</v>
      </c>
      <c r="N32" s="147">
        <v>3</v>
      </c>
      <c r="O32" s="149">
        <v>0</v>
      </c>
      <c r="P32" s="147">
        <v>0</v>
      </c>
      <c r="Q32" s="147">
        <v>0</v>
      </c>
      <c r="R32" s="184">
        <v>0</v>
      </c>
      <c r="S32" s="137">
        <v>0</v>
      </c>
      <c r="T32" s="183">
        <v>0</v>
      </c>
      <c r="U32" s="138">
        <v>0</v>
      </c>
      <c r="V32" s="192">
        <f t="shared" si="0"/>
        <v>0</v>
      </c>
      <c r="W32" s="147">
        <v>0</v>
      </c>
      <c r="X32" s="147">
        <v>0</v>
      </c>
      <c r="Y32" s="147">
        <v>0</v>
      </c>
      <c r="Z32" s="184">
        <v>0</v>
      </c>
      <c r="AA32" s="192" t="str">
        <f t="shared" si="1"/>
        <v>-</v>
      </c>
      <c r="AB32" s="146">
        <v>0</v>
      </c>
      <c r="AC32" s="147">
        <v>0</v>
      </c>
      <c r="AD32" s="147">
        <v>0</v>
      </c>
      <c r="AE32" s="123">
        <f t="shared" si="2"/>
        <v>0</v>
      </c>
    </row>
    <row r="33" spans="1:31" s="1" customFormat="1" ht="14.25" customHeight="1" x14ac:dyDescent="0.2">
      <c r="A33" s="30" t="s">
        <v>26</v>
      </c>
      <c r="B33" s="146">
        <v>28</v>
      </c>
      <c r="C33" s="147">
        <v>35</v>
      </c>
      <c r="D33" s="147">
        <v>31</v>
      </c>
      <c r="E33" s="155">
        <f t="shared" si="7"/>
        <v>94</v>
      </c>
      <c r="F33" s="147">
        <v>10920</v>
      </c>
      <c r="G33" s="147">
        <v>3500</v>
      </c>
      <c r="H33" s="147">
        <v>0</v>
      </c>
      <c r="I33" s="147">
        <v>1850</v>
      </c>
      <c r="J33" s="147">
        <v>0</v>
      </c>
      <c r="K33" s="147">
        <v>0</v>
      </c>
      <c r="L33" s="147">
        <v>0</v>
      </c>
      <c r="M33" s="163">
        <f t="shared" si="8"/>
        <v>16270</v>
      </c>
      <c r="N33" s="147">
        <v>5</v>
      </c>
      <c r="O33" s="149">
        <v>3</v>
      </c>
      <c r="P33" s="147">
        <v>0</v>
      </c>
      <c r="Q33" s="147">
        <v>0</v>
      </c>
      <c r="R33" s="184">
        <v>0</v>
      </c>
      <c r="S33" s="137">
        <v>0</v>
      </c>
      <c r="T33" s="183">
        <v>0</v>
      </c>
      <c r="U33" s="138">
        <v>0</v>
      </c>
      <c r="V33" s="192">
        <f t="shared" si="0"/>
        <v>0</v>
      </c>
      <c r="W33" s="147">
        <v>0</v>
      </c>
      <c r="X33" s="147">
        <v>0</v>
      </c>
      <c r="Y33" s="147">
        <v>0</v>
      </c>
      <c r="Z33" s="184">
        <v>0</v>
      </c>
      <c r="AA33" s="192" t="str">
        <f t="shared" si="1"/>
        <v>-</v>
      </c>
      <c r="AB33" s="146">
        <v>0</v>
      </c>
      <c r="AC33" s="147">
        <v>0</v>
      </c>
      <c r="AD33" s="147">
        <v>0</v>
      </c>
      <c r="AE33" s="123">
        <f t="shared" si="2"/>
        <v>0</v>
      </c>
    </row>
    <row r="34" spans="1:31" s="1" customFormat="1" ht="14.25" customHeight="1" x14ac:dyDescent="0.2">
      <c r="A34" s="30" t="s">
        <v>58</v>
      </c>
      <c r="B34" s="137">
        <v>13</v>
      </c>
      <c r="C34" s="138">
        <v>13</v>
      </c>
      <c r="D34" s="138">
        <v>26</v>
      </c>
      <c r="E34" s="155">
        <f t="shared" si="7"/>
        <v>52</v>
      </c>
      <c r="F34" s="138">
        <f>1720+3170</f>
        <v>4890</v>
      </c>
      <c r="G34" s="138">
        <v>1250</v>
      </c>
      <c r="H34" s="147">
        <v>0</v>
      </c>
      <c r="I34" s="138">
        <v>0</v>
      </c>
      <c r="J34" s="138">
        <v>0</v>
      </c>
      <c r="K34" s="138">
        <v>0</v>
      </c>
      <c r="L34" s="138">
        <v>5555</v>
      </c>
      <c r="M34" s="163">
        <f t="shared" si="8"/>
        <v>11695</v>
      </c>
      <c r="N34" s="138">
        <v>6</v>
      </c>
      <c r="O34" s="140">
        <v>1</v>
      </c>
      <c r="P34" s="138">
        <v>0</v>
      </c>
      <c r="Q34" s="138">
        <v>0</v>
      </c>
      <c r="R34" s="183">
        <v>0</v>
      </c>
      <c r="S34" s="137">
        <v>0</v>
      </c>
      <c r="T34" s="183">
        <v>0</v>
      </c>
      <c r="U34" s="138">
        <v>0</v>
      </c>
      <c r="V34" s="192">
        <f t="shared" si="0"/>
        <v>0</v>
      </c>
      <c r="W34" s="138">
        <v>0</v>
      </c>
      <c r="X34" s="138">
        <v>0</v>
      </c>
      <c r="Y34" s="138">
        <v>0</v>
      </c>
      <c r="Z34" s="183">
        <v>0</v>
      </c>
      <c r="AA34" s="192" t="str">
        <f t="shared" si="1"/>
        <v>-</v>
      </c>
      <c r="AB34" s="137">
        <v>0</v>
      </c>
      <c r="AC34" s="138">
        <v>0</v>
      </c>
      <c r="AD34" s="138">
        <v>0</v>
      </c>
      <c r="AE34" s="123">
        <f t="shared" si="2"/>
        <v>0</v>
      </c>
    </row>
    <row r="35" spans="1:31" s="1" customFormat="1" ht="14.25" customHeight="1" x14ac:dyDescent="0.2">
      <c r="A35" s="30" t="s">
        <v>36</v>
      </c>
      <c r="B35" s="137">
        <v>6</v>
      </c>
      <c r="C35" s="138">
        <v>7</v>
      </c>
      <c r="D35" s="138">
        <v>10</v>
      </c>
      <c r="E35" s="155">
        <f t="shared" si="7"/>
        <v>23</v>
      </c>
      <c r="F35" s="138">
        <v>1690</v>
      </c>
      <c r="G35" s="138">
        <v>1070</v>
      </c>
      <c r="H35" s="147">
        <v>0</v>
      </c>
      <c r="I35" s="138">
        <v>0</v>
      </c>
      <c r="J35" s="138">
        <v>0</v>
      </c>
      <c r="K35" s="138">
        <v>0</v>
      </c>
      <c r="L35" s="138">
        <v>0</v>
      </c>
      <c r="M35" s="163">
        <f t="shared" si="8"/>
        <v>2760</v>
      </c>
      <c r="N35" s="138">
        <v>0</v>
      </c>
      <c r="O35" s="140">
        <v>0</v>
      </c>
      <c r="P35" s="138">
        <v>0</v>
      </c>
      <c r="Q35" s="138">
        <v>0</v>
      </c>
      <c r="R35" s="183">
        <v>0</v>
      </c>
      <c r="S35" s="137">
        <v>0</v>
      </c>
      <c r="T35" s="183">
        <v>0</v>
      </c>
      <c r="U35" s="138">
        <v>0</v>
      </c>
      <c r="V35" s="192">
        <f t="shared" si="0"/>
        <v>0</v>
      </c>
      <c r="W35" s="138">
        <v>0</v>
      </c>
      <c r="X35" s="138">
        <v>0</v>
      </c>
      <c r="Y35" s="138">
        <v>0</v>
      </c>
      <c r="Z35" s="183">
        <v>0</v>
      </c>
      <c r="AA35" s="192" t="str">
        <f t="shared" si="1"/>
        <v>-</v>
      </c>
      <c r="AB35" s="137">
        <v>0</v>
      </c>
      <c r="AC35" s="138">
        <v>0</v>
      </c>
      <c r="AD35" s="138">
        <v>0</v>
      </c>
      <c r="AE35" s="123">
        <f t="shared" si="2"/>
        <v>0</v>
      </c>
    </row>
    <row r="36" spans="1:31" s="1" customFormat="1" ht="14.25" customHeight="1" x14ac:dyDescent="0.2">
      <c r="A36" s="236"/>
      <c r="B36" s="166">
        <f t="shared" ref="B36:U36" si="9">SUM(B27:B35)</f>
        <v>143</v>
      </c>
      <c r="C36" s="155">
        <f t="shared" si="9"/>
        <v>189</v>
      </c>
      <c r="D36" s="155">
        <f t="shared" si="9"/>
        <v>285</v>
      </c>
      <c r="E36" s="155">
        <f t="shared" si="9"/>
        <v>617</v>
      </c>
      <c r="F36" s="155">
        <f t="shared" si="9"/>
        <v>50090</v>
      </c>
      <c r="G36" s="155">
        <f t="shared" si="9"/>
        <v>23720</v>
      </c>
      <c r="H36" s="155">
        <f t="shared" si="9"/>
        <v>0</v>
      </c>
      <c r="I36" s="155">
        <f t="shared" si="9"/>
        <v>4220</v>
      </c>
      <c r="J36" s="155">
        <f t="shared" ref="J36" si="10">SUM(J27:J35)</f>
        <v>0</v>
      </c>
      <c r="K36" s="155">
        <f t="shared" si="9"/>
        <v>700</v>
      </c>
      <c r="L36" s="155">
        <f t="shared" si="9"/>
        <v>18225</v>
      </c>
      <c r="M36" s="155">
        <f t="shared" si="9"/>
        <v>96955</v>
      </c>
      <c r="N36" s="155">
        <f t="shared" si="9"/>
        <v>40</v>
      </c>
      <c r="O36" s="167">
        <f t="shared" si="9"/>
        <v>13</v>
      </c>
      <c r="P36" s="155">
        <f t="shared" si="9"/>
        <v>0</v>
      </c>
      <c r="Q36" s="155">
        <f t="shared" si="9"/>
        <v>0</v>
      </c>
      <c r="R36" s="186">
        <f t="shared" si="9"/>
        <v>0</v>
      </c>
      <c r="S36" s="166">
        <f t="shared" si="9"/>
        <v>0</v>
      </c>
      <c r="T36" s="186">
        <f t="shared" si="9"/>
        <v>0</v>
      </c>
      <c r="U36" s="155">
        <f t="shared" si="9"/>
        <v>0</v>
      </c>
      <c r="V36" s="161">
        <f>IF(SUM(V27:V35)&gt;0,AVERAGEIF(V27:V35,"&lt;&gt;0"),0)</f>
        <v>0</v>
      </c>
      <c r="W36" s="155">
        <f>SUM(W27:W35)</f>
        <v>0</v>
      </c>
      <c r="X36" s="155">
        <f>SUM(X27:X35)</f>
        <v>0</v>
      </c>
      <c r="Y36" s="155">
        <f>SUM(Y27:Y35)</f>
        <v>0</v>
      </c>
      <c r="Z36" s="186">
        <f>SUM(Z27:Z35)</f>
        <v>0</v>
      </c>
      <c r="AA36" s="161">
        <f>IF(SUM(AA27:AA35),AVERAGEIF(AA27:AA35,"&lt;&gt;0"),0)</f>
        <v>0</v>
      </c>
      <c r="AB36" s="166">
        <f>SUM(AB27:AB35)</f>
        <v>0</v>
      </c>
      <c r="AC36" s="155">
        <f>SUM(AC27:AC35)</f>
        <v>0</v>
      </c>
      <c r="AD36" s="155">
        <f>SUM(AD27:AD35)</f>
        <v>0</v>
      </c>
      <c r="AE36" s="167">
        <f>SUM(AE27:AE35)</f>
        <v>0</v>
      </c>
    </row>
    <row r="37" spans="1:31" s="1" customFormat="1" ht="14.25" customHeight="1" x14ac:dyDescent="0.2">
      <c r="A37" s="30" t="s">
        <v>27</v>
      </c>
      <c r="B37" s="137">
        <v>0</v>
      </c>
      <c r="C37" s="138">
        <v>0</v>
      </c>
      <c r="D37" s="138">
        <v>0</v>
      </c>
      <c r="E37" s="155">
        <f t="shared" ref="E37:E49" si="11">SUM(B37:D37)</f>
        <v>0</v>
      </c>
      <c r="F37" s="139">
        <v>0</v>
      </c>
      <c r="G37" s="139">
        <v>0</v>
      </c>
      <c r="H37" s="150">
        <v>0</v>
      </c>
      <c r="I37" s="139">
        <v>0</v>
      </c>
      <c r="J37" s="139">
        <v>0</v>
      </c>
      <c r="K37" s="139">
        <v>0</v>
      </c>
      <c r="L37" s="139">
        <v>0</v>
      </c>
      <c r="M37" s="163">
        <f t="shared" ref="M37:M49" si="12">SUM(F37:L37)</f>
        <v>0</v>
      </c>
      <c r="N37" s="138">
        <v>0</v>
      </c>
      <c r="O37" s="140">
        <v>0</v>
      </c>
      <c r="P37" s="138">
        <v>0</v>
      </c>
      <c r="Q37" s="138">
        <v>0</v>
      </c>
      <c r="R37" s="183">
        <v>0</v>
      </c>
      <c r="S37" s="137">
        <v>0</v>
      </c>
      <c r="T37" s="183">
        <v>0</v>
      </c>
      <c r="U37" s="138">
        <v>0</v>
      </c>
      <c r="V37" s="192">
        <f t="shared" si="0"/>
        <v>0</v>
      </c>
      <c r="W37" s="138">
        <v>0</v>
      </c>
      <c r="X37" s="138">
        <v>0</v>
      </c>
      <c r="Y37" s="138">
        <v>0</v>
      </c>
      <c r="Z37" s="183">
        <v>0</v>
      </c>
      <c r="AA37" s="192" t="str">
        <f t="shared" si="1"/>
        <v>-</v>
      </c>
      <c r="AB37" s="142">
        <v>0</v>
      </c>
      <c r="AC37" s="139">
        <v>0</v>
      </c>
      <c r="AD37" s="139">
        <v>0</v>
      </c>
      <c r="AE37" s="123">
        <f t="shared" si="2"/>
        <v>0</v>
      </c>
    </row>
    <row r="38" spans="1:31" s="1" customFormat="1" ht="14.25" customHeight="1" x14ac:dyDescent="0.2">
      <c r="A38" s="30" t="s">
        <v>28</v>
      </c>
      <c r="B38" s="144">
        <v>5</v>
      </c>
      <c r="C38" s="145">
        <v>6</v>
      </c>
      <c r="D38" s="145">
        <v>10</v>
      </c>
      <c r="E38" s="155">
        <f t="shared" si="11"/>
        <v>21</v>
      </c>
      <c r="F38" s="139">
        <v>1300</v>
      </c>
      <c r="G38" s="139">
        <v>1700</v>
      </c>
      <c r="H38" s="150">
        <v>0</v>
      </c>
      <c r="I38" s="138">
        <v>0</v>
      </c>
      <c r="J38" s="138">
        <v>0</v>
      </c>
      <c r="K38" s="138">
        <v>0</v>
      </c>
      <c r="L38" s="138">
        <v>0</v>
      </c>
      <c r="M38" s="163">
        <f t="shared" si="12"/>
        <v>3000</v>
      </c>
      <c r="N38" s="138">
        <v>3</v>
      </c>
      <c r="O38" s="140">
        <v>2</v>
      </c>
      <c r="P38" s="138">
        <v>0</v>
      </c>
      <c r="Q38" s="138">
        <v>0</v>
      </c>
      <c r="R38" s="183">
        <v>0</v>
      </c>
      <c r="S38" s="137">
        <v>0</v>
      </c>
      <c r="T38" s="183">
        <v>0</v>
      </c>
      <c r="U38" s="138">
        <v>0</v>
      </c>
      <c r="V38" s="192">
        <f t="shared" si="0"/>
        <v>0</v>
      </c>
      <c r="W38" s="138">
        <v>0</v>
      </c>
      <c r="X38" s="138">
        <v>0</v>
      </c>
      <c r="Y38" s="138">
        <v>0</v>
      </c>
      <c r="Z38" s="183">
        <v>0</v>
      </c>
      <c r="AA38" s="192" t="str">
        <f t="shared" si="1"/>
        <v>-</v>
      </c>
      <c r="AB38" s="137">
        <v>0</v>
      </c>
      <c r="AC38" s="138">
        <v>0</v>
      </c>
      <c r="AD38" s="138">
        <v>0</v>
      </c>
      <c r="AE38" s="123">
        <f t="shared" si="2"/>
        <v>0</v>
      </c>
    </row>
    <row r="39" spans="1:31" s="1" customFormat="1" ht="14.25" customHeight="1" x14ac:dyDescent="0.2">
      <c r="A39" s="30" t="s">
        <v>62</v>
      </c>
      <c r="B39" s="146">
        <v>0</v>
      </c>
      <c r="C39" s="147">
        <v>0</v>
      </c>
      <c r="D39" s="147">
        <v>0</v>
      </c>
      <c r="E39" s="155">
        <f t="shared" si="11"/>
        <v>0</v>
      </c>
      <c r="F39" s="150">
        <v>0</v>
      </c>
      <c r="G39" s="150">
        <v>0</v>
      </c>
      <c r="H39" s="150">
        <v>0</v>
      </c>
      <c r="I39" s="147">
        <v>0</v>
      </c>
      <c r="J39" s="147">
        <v>0</v>
      </c>
      <c r="K39" s="147">
        <v>0</v>
      </c>
      <c r="L39" s="147">
        <v>0</v>
      </c>
      <c r="M39" s="163">
        <f t="shared" si="12"/>
        <v>0</v>
      </c>
      <c r="N39" s="147">
        <v>0</v>
      </c>
      <c r="O39" s="149">
        <v>0</v>
      </c>
      <c r="P39" s="147">
        <v>0</v>
      </c>
      <c r="Q39" s="147">
        <v>0</v>
      </c>
      <c r="R39" s="184">
        <v>0</v>
      </c>
      <c r="S39" s="137">
        <v>0</v>
      </c>
      <c r="T39" s="183">
        <v>0</v>
      </c>
      <c r="U39" s="138">
        <v>0</v>
      </c>
      <c r="V39" s="192">
        <f t="shared" si="0"/>
        <v>0</v>
      </c>
      <c r="W39" s="147">
        <v>0</v>
      </c>
      <c r="X39" s="147">
        <v>0</v>
      </c>
      <c r="Y39" s="147">
        <v>0</v>
      </c>
      <c r="Z39" s="184">
        <v>0</v>
      </c>
      <c r="AA39" s="192" t="str">
        <f t="shared" si="1"/>
        <v>-</v>
      </c>
      <c r="AB39" s="146">
        <v>0</v>
      </c>
      <c r="AC39" s="147">
        <v>0</v>
      </c>
      <c r="AD39" s="147">
        <v>0</v>
      </c>
      <c r="AE39" s="123">
        <f t="shared" si="2"/>
        <v>0</v>
      </c>
    </row>
    <row r="40" spans="1:31" s="1" customFormat="1" ht="14.25" customHeight="1" x14ac:dyDescent="0.2">
      <c r="A40" s="30" t="s">
        <v>29</v>
      </c>
      <c r="B40" s="146">
        <v>0</v>
      </c>
      <c r="C40" s="147">
        <v>0</v>
      </c>
      <c r="D40" s="147">
        <v>0</v>
      </c>
      <c r="E40" s="155">
        <f t="shared" si="11"/>
        <v>0</v>
      </c>
      <c r="F40" s="150">
        <v>0</v>
      </c>
      <c r="G40" s="150">
        <v>0</v>
      </c>
      <c r="H40" s="150">
        <v>0</v>
      </c>
      <c r="I40" s="147">
        <v>0</v>
      </c>
      <c r="J40" s="147">
        <v>0</v>
      </c>
      <c r="K40" s="147">
        <v>0</v>
      </c>
      <c r="L40" s="147">
        <v>0</v>
      </c>
      <c r="M40" s="163">
        <f t="shared" si="12"/>
        <v>0</v>
      </c>
      <c r="N40" s="147">
        <v>0</v>
      </c>
      <c r="O40" s="149">
        <v>0</v>
      </c>
      <c r="P40" s="147">
        <v>0</v>
      </c>
      <c r="Q40" s="147">
        <v>0</v>
      </c>
      <c r="R40" s="184">
        <v>0</v>
      </c>
      <c r="S40" s="137">
        <v>0</v>
      </c>
      <c r="T40" s="183">
        <v>0</v>
      </c>
      <c r="U40" s="138">
        <v>0</v>
      </c>
      <c r="V40" s="192">
        <f t="shared" si="0"/>
        <v>0</v>
      </c>
      <c r="W40" s="147">
        <v>0</v>
      </c>
      <c r="X40" s="147">
        <v>0</v>
      </c>
      <c r="Y40" s="147">
        <v>0</v>
      </c>
      <c r="Z40" s="184">
        <v>0</v>
      </c>
      <c r="AA40" s="192" t="str">
        <f t="shared" si="1"/>
        <v>-</v>
      </c>
      <c r="AB40" s="146">
        <v>0</v>
      </c>
      <c r="AC40" s="147">
        <v>0</v>
      </c>
      <c r="AD40" s="147">
        <v>0</v>
      </c>
      <c r="AE40" s="123">
        <f t="shared" si="2"/>
        <v>0</v>
      </c>
    </row>
    <row r="41" spans="1:31" s="1" customFormat="1" ht="14.25" customHeight="1" x14ac:dyDescent="0.2">
      <c r="A41" s="30" t="s">
        <v>30</v>
      </c>
      <c r="B41" s="146">
        <v>0</v>
      </c>
      <c r="C41" s="147">
        <v>0</v>
      </c>
      <c r="D41" s="147">
        <v>0</v>
      </c>
      <c r="E41" s="155">
        <f t="shared" si="11"/>
        <v>0</v>
      </c>
      <c r="F41" s="150">
        <v>0</v>
      </c>
      <c r="G41" s="150">
        <v>0</v>
      </c>
      <c r="H41" s="150">
        <v>0</v>
      </c>
      <c r="I41" s="147">
        <v>0</v>
      </c>
      <c r="J41" s="147">
        <v>0</v>
      </c>
      <c r="K41" s="147">
        <v>0</v>
      </c>
      <c r="L41" s="147">
        <v>0</v>
      </c>
      <c r="M41" s="163">
        <f t="shared" si="12"/>
        <v>0</v>
      </c>
      <c r="N41" s="147">
        <v>0</v>
      </c>
      <c r="O41" s="149">
        <v>0</v>
      </c>
      <c r="P41" s="147">
        <v>0</v>
      </c>
      <c r="Q41" s="147">
        <v>0</v>
      </c>
      <c r="R41" s="184">
        <v>0</v>
      </c>
      <c r="S41" s="137">
        <v>0</v>
      </c>
      <c r="T41" s="183">
        <v>0</v>
      </c>
      <c r="U41" s="138">
        <v>0</v>
      </c>
      <c r="V41" s="192">
        <f t="shared" si="0"/>
        <v>0</v>
      </c>
      <c r="W41" s="147">
        <v>0</v>
      </c>
      <c r="X41" s="147">
        <v>0</v>
      </c>
      <c r="Y41" s="147">
        <v>0</v>
      </c>
      <c r="Z41" s="184">
        <v>0</v>
      </c>
      <c r="AA41" s="192" t="str">
        <f t="shared" si="1"/>
        <v>-</v>
      </c>
      <c r="AB41" s="146">
        <v>0</v>
      </c>
      <c r="AC41" s="147">
        <v>0</v>
      </c>
      <c r="AD41" s="147">
        <v>0</v>
      </c>
      <c r="AE41" s="123">
        <f t="shared" si="2"/>
        <v>0</v>
      </c>
    </row>
    <row r="42" spans="1:31" s="1" customFormat="1" ht="14.25" customHeight="1" x14ac:dyDescent="0.2">
      <c r="A42" s="30" t="s">
        <v>31</v>
      </c>
      <c r="B42" s="146">
        <v>0</v>
      </c>
      <c r="C42" s="147">
        <v>0</v>
      </c>
      <c r="D42" s="147">
        <v>0</v>
      </c>
      <c r="E42" s="155">
        <f t="shared" si="11"/>
        <v>0</v>
      </c>
      <c r="F42" s="150">
        <v>0</v>
      </c>
      <c r="G42" s="150">
        <v>0</v>
      </c>
      <c r="H42" s="150">
        <v>0</v>
      </c>
      <c r="I42" s="147">
        <v>0</v>
      </c>
      <c r="J42" s="147">
        <v>0</v>
      </c>
      <c r="K42" s="147">
        <v>0</v>
      </c>
      <c r="L42" s="147">
        <v>0</v>
      </c>
      <c r="M42" s="163">
        <f t="shared" si="12"/>
        <v>0</v>
      </c>
      <c r="N42" s="147">
        <v>0</v>
      </c>
      <c r="O42" s="149">
        <v>0</v>
      </c>
      <c r="P42" s="147">
        <v>0</v>
      </c>
      <c r="Q42" s="147">
        <v>0</v>
      </c>
      <c r="R42" s="184">
        <v>0</v>
      </c>
      <c r="S42" s="137">
        <v>0</v>
      </c>
      <c r="T42" s="183">
        <v>0</v>
      </c>
      <c r="U42" s="138">
        <v>0</v>
      </c>
      <c r="V42" s="192">
        <f t="shared" si="0"/>
        <v>0</v>
      </c>
      <c r="W42" s="147">
        <v>0</v>
      </c>
      <c r="X42" s="147">
        <v>0</v>
      </c>
      <c r="Y42" s="147">
        <v>0</v>
      </c>
      <c r="Z42" s="184">
        <v>0</v>
      </c>
      <c r="AA42" s="192" t="str">
        <f t="shared" si="1"/>
        <v>-</v>
      </c>
      <c r="AB42" s="146">
        <v>0</v>
      </c>
      <c r="AC42" s="147">
        <v>0</v>
      </c>
      <c r="AD42" s="147">
        <v>0</v>
      </c>
      <c r="AE42" s="123">
        <f t="shared" si="2"/>
        <v>0</v>
      </c>
    </row>
    <row r="43" spans="1:31" s="1" customFormat="1" ht="14.25" customHeight="1" x14ac:dyDescent="0.2">
      <c r="A43" s="30" t="s">
        <v>44</v>
      </c>
      <c r="B43" s="146">
        <v>0</v>
      </c>
      <c r="C43" s="147">
        <v>0</v>
      </c>
      <c r="D43" s="147">
        <v>0</v>
      </c>
      <c r="E43" s="155">
        <f t="shared" si="11"/>
        <v>0</v>
      </c>
      <c r="F43" s="150">
        <v>0</v>
      </c>
      <c r="G43" s="150">
        <v>0</v>
      </c>
      <c r="H43" s="150">
        <v>0</v>
      </c>
      <c r="I43" s="147">
        <v>0</v>
      </c>
      <c r="J43" s="147">
        <v>0</v>
      </c>
      <c r="K43" s="147">
        <v>0</v>
      </c>
      <c r="L43" s="147">
        <v>0</v>
      </c>
      <c r="M43" s="163">
        <f t="shared" si="12"/>
        <v>0</v>
      </c>
      <c r="N43" s="147">
        <v>0</v>
      </c>
      <c r="O43" s="149">
        <v>0</v>
      </c>
      <c r="P43" s="147">
        <v>0</v>
      </c>
      <c r="Q43" s="147">
        <v>0</v>
      </c>
      <c r="R43" s="184">
        <v>0</v>
      </c>
      <c r="S43" s="137">
        <v>0</v>
      </c>
      <c r="T43" s="183">
        <v>0</v>
      </c>
      <c r="U43" s="138">
        <v>0</v>
      </c>
      <c r="V43" s="192">
        <f t="shared" si="0"/>
        <v>0</v>
      </c>
      <c r="W43" s="147">
        <v>0</v>
      </c>
      <c r="X43" s="147">
        <v>0</v>
      </c>
      <c r="Y43" s="147">
        <v>0</v>
      </c>
      <c r="Z43" s="184">
        <v>0</v>
      </c>
      <c r="AA43" s="192" t="str">
        <f t="shared" si="1"/>
        <v>-</v>
      </c>
      <c r="AB43" s="146">
        <v>0</v>
      </c>
      <c r="AC43" s="147">
        <v>0</v>
      </c>
      <c r="AD43" s="147">
        <v>0</v>
      </c>
      <c r="AE43" s="123">
        <f t="shared" si="2"/>
        <v>0</v>
      </c>
    </row>
    <row r="44" spans="1:31" s="1" customFormat="1" ht="14.25" customHeight="1" x14ac:dyDescent="0.2">
      <c r="A44" s="30" t="s">
        <v>32</v>
      </c>
      <c r="B44" s="146">
        <v>0</v>
      </c>
      <c r="C44" s="147">
        <v>0</v>
      </c>
      <c r="D44" s="147">
        <v>0</v>
      </c>
      <c r="E44" s="155">
        <f t="shared" si="11"/>
        <v>0</v>
      </c>
      <c r="F44" s="150">
        <v>0</v>
      </c>
      <c r="G44" s="150">
        <v>0</v>
      </c>
      <c r="H44" s="150">
        <v>0</v>
      </c>
      <c r="I44" s="147">
        <v>0</v>
      </c>
      <c r="J44" s="147">
        <v>0</v>
      </c>
      <c r="K44" s="147">
        <v>0</v>
      </c>
      <c r="L44" s="147">
        <v>0</v>
      </c>
      <c r="M44" s="163">
        <f t="shared" si="12"/>
        <v>0</v>
      </c>
      <c r="N44" s="147">
        <v>0</v>
      </c>
      <c r="O44" s="149">
        <v>0</v>
      </c>
      <c r="P44" s="147">
        <v>0</v>
      </c>
      <c r="Q44" s="147">
        <v>0</v>
      </c>
      <c r="R44" s="184">
        <v>0</v>
      </c>
      <c r="S44" s="137">
        <v>0</v>
      </c>
      <c r="T44" s="183">
        <v>0</v>
      </c>
      <c r="U44" s="138">
        <v>0</v>
      </c>
      <c r="V44" s="192">
        <f t="shared" si="0"/>
        <v>0</v>
      </c>
      <c r="W44" s="147">
        <v>0</v>
      </c>
      <c r="X44" s="147">
        <v>0</v>
      </c>
      <c r="Y44" s="147">
        <v>0</v>
      </c>
      <c r="Z44" s="184">
        <v>0</v>
      </c>
      <c r="AA44" s="192" t="str">
        <f t="shared" si="1"/>
        <v>-</v>
      </c>
      <c r="AB44" s="146">
        <v>0</v>
      </c>
      <c r="AC44" s="147">
        <v>0</v>
      </c>
      <c r="AD44" s="147">
        <v>0</v>
      </c>
      <c r="AE44" s="123">
        <f t="shared" si="2"/>
        <v>0</v>
      </c>
    </row>
    <row r="45" spans="1:31" s="1" customFormat="1" ht="14.25" customHeight="1" x14ac:dyDescent="0.2">
      <c r="A45" s="30" t="s">
        <v>105</v>
      </c>
      <c r="B45" s="146">
        <v>0</v>
      </c>
      <c r="C45" s="147">
        <v>0</v>
      </c>
      <c r="D45" s="147">
        <v>0</v>
      </c>
      <c r="E45" s="155">
        <f t="shared" si="11"/>
        <v>0</v>
      </c>
      <c r="F45" s="150">
        <v>0</v>
      </c>
      <c r="G45" s="150">
        <v>0</v>
      </c>
      <c r="H45" s="150">
        <v>0</v>
      </c>
      <c r="I45" s="147">
        <v>0</v>
      </c>
      <c r="J45" s="147">
        <v>0</v>
      </c>
      <c r="K45" s="147">
        <v>0</v>
      </c>
      <c r="L45" s="147">
        <v>0</v>
      </c>
      <c r="M45" s="163">
        <f t="shared" si="12"/>
        <v>0</v>
      </c>
      <c r="N45" s="147">
        <v>0</v>
      </c>
      <c r="O45" s="149">
        <v>0</v>
      </c>
      <c r="P45" s="147">
        <v>0</v>
      </c>
      <c r="Q45" s="147">
        <v>0</v>
      </c>
      <c r="R45" s="184">
        <v>0</v>
      </c>
      <c r="S45" s="137">
        <v>0</v>
      </c>
      <c r="T45" s="183">
        <v>0</v>
      </c>
      <c r="U45" s="138">
        <v>0</v>
      </c>
      <c r="V45" s="192">
        <f t="shared" si="0"/>
        <v>0</v>
      </c>
      <c r="W45" s="147">
        <v>0</v>
      </c>
      <c r="X45" s="147">
        <v>0</v>
      </c>
      <c r="Y45" s="147">
        <v>0</v>
      </c>
      <c r="Z45" s="184">
        <v>0</v>
      </c>
      <c r="AA45" s="192" t="str">
        <f t="shared" si="1"/>
        <v>-</v>
      </c>
      <c r="AB45" s="146">
        <v>0</v>
      </c>
      <c r="AC45" s="147">
        <v>0</v>
      </c>
      <c r="AD45" s="147">
        <v>0</v>
      </c>
      <c r="AE45" s="123">
        <f t="shared" si="2"/>
        <v>0</v>
      </c>
    </row>
    <row r="46" spans="1:31" s="1" customFormat="1" ht="14.25" customHeight="1" x14ac:dyDescent="0.2">
      <c r="A46" s="30" t="s">
        <v>33</v>
      </c>
      <c r="B46" s="146">
        <v>0</v>
      </c>
      <c r="C46" s="147">
        <v>0</v>
      </c>
      <c r="D46" s="147">
        <v>0</v>
      </c>
      <c r="E46" s="155">
        <f t="shared" si="11"/>
        <v>0</v>
      </c>
      <c r="F46" s="150">
        <v>0</v>
      </c>
      <c r="G46" s="150">
        <v>0</v>
      </c>
      <c r="H46" s="150">
        <v>0</v>
      </c>
      <c r="I46" s="147">
        <v>0</v>
      </c>
      <c r="J46" s="147">
        <v>0</v>
      </c>
      <c r="K46" s="147">
        <v>0</v>
      </c>
      <c r="L46" s="147">
        <v>0</v>
      </c>
      <c r="M46" s="163">
        <f t="shared" si="12"/>
        <v>0</v>
      </c>
      <c r="N46" s="147">
        <v>0</v>
      </c>
      <c r="O46" s="149">
        <v>0</v>
      </c>
      <c r="P46" s="147">
        <v>0</v>
      </c>
      <c r="Q46" s="147">
        <v>0</v>
      </c>
      <c r="R46" s="184">
        <v>0</v>
      </c>
      <c r="S46" s="137">
        <v>0</v>
      </c>
      <c r="T46" s="183">
        <v>0</v>
      </c>
      <c r="U46" s="138">
        <v>0</v>
      </c>
      <c r="V46" s="192">
        <f t="shared" si="0"/>
        <v>0</v>
      </c>
      <c r="W46" s="147">
        <v>0</v>
      </c>
      <c r="X46" s="147">
        <v>0</v>
      </c>
      <c r="Y46" s="147">
        <v>0</v>
      </c>
      <c r="Z46" s="184">
        <v>0</v>
      </c>
      <c r="AA46" s="192" t="str">
        <f t="shared" si="1"/>
        <v>-</v>
      </c>
      <c r="AB46" s="146">
        <v>0</v>
      </c>
      <c r="AC46" s="147">
        <v>0</v>
      </c>
      <c r="AD46" s="147">
        <v>0</v>
      </c>
      <c r="AE46" s="123">
        <f t="shared" si="2"/>
        <v>0</v>
      </c>
    </row>
    <row r="47" spans="1:31" s="1" customFormat="1" ht="14.25" customHeight="1" x14ac:dyDescent="0.2">
      <c r="A47" s="30" t="s">
        <v>34</v>
      </c>
      <c r="B47" s="146">
        <v>0</v>
      </c>
      <c r="C47" s="147">
        <v>0</v>
      </c>
      <c r="D47" s="147">
        <v>0</v>
      </c>
      <c r="E47" s="155">
        <f t="shared" si="11"/>
        <v>0</v>
      </c>
      <c r="F47" s="150">
        <v>0</v>
      </c>
      <c r="G47" s="150">
        <v>0</v>
      </c>
      <c r="H47" s="150">
        <v>0</v>
      </c>
      <c r="I47" s="147">
        <v>0</v>
      </c>
      <c r="J47" s="147">
        <v>0</v>
      </c>
      <c r="K47" s="147">
        <v>0</v>
      </c>
      <c r="L47" s="147">
        <v>0</v>
      </c>
      <c r="M47" s="163">
        <f t="shared" si="12"/>
        <v>0</v>
      </c>
      <c r="N47" s="147">
        <v>0</v>
      </c>
      <c r="O47" s="149">
        <v>0</v>
      </c>
      <c r="P47" s="147">
        <v>0</v>
      </c>
      <c r="Q47" s="147">
        <v>0</v>
      </c>
      <c r="R47" s="184">
        <v>0</v>
      </c>
      <c r="S47" s="137">
        <v>0</v>
      </c>
      <c r="T47" s="183">
        <v>0</v>
      </c>
      <c r="U47" s="138">
        <v>0</v>
      </c>
      <c r="V47" s="192">
        <f t="shared" si="0"/>
        <v>0</v>
      </c>
      <c r="W47" s="147">
        <v>0</v>
      </c>
      <c r="X47" s="147">
        <v>0</v>
      </c>
      <c r="Y47" s="147">
        <v>0</v>
      </c>
      <c r="Z47" s="184">
        <v>0</v>
      </c>
      <c r="AA47" s="192" t="str">
        <f t="shared" si="1"/>
        <v>-</v>
      </c>
      <c r="AB47" s="146">
        <v>0</v>
      </c>
      <c r="AC47" s="147">
        <v>0</v>
      </c>
      <c r="AD47" s="147">
        <v>0</v>
      </c>
      <c r="AE47" s="123">
        <f t="shared" si="2"/>
        <v>0</v>
      </c>
    </row>
    <row r="48" spans="1:31" s="1" customFormat="1" ht="14.25" customHeight="1" x14ac:dyDescent="0.2">
      <c r="A48" s="30" t="s">
        <v>35</v>
      </c>
      <c r="B48" s="146">
        <v>0</v>
      </c>
      <c r="C48" s="147">
        <v>0</v>
      </c>
      <c r="D48" s="147">
        <v>0</v>
      </c>
      <c r="E48" s="155">
        <f t="shared" si="11"/>
        <v>0</v>
      </c>
      <c r="F48" s="147">
        <v>0</v>
      </c>
      <c r="G48" s="147">
        <v>0</v>
      </c>
      <c r="H48" s="150">
        <v>0</v>
      </c>
      <c r="I48" s="147">
        <v>0</v>
      </c>
      <c r="J48" s="147">
        <v>0</v>
      </c>
      <c r="K48" s="147">
        <v>0</v>
      </c>
      <c r="L48" s="147">
        <v>0</v>
      </c>
      <c r="M48" s="163">
        <f t="shared" si="12"/>
        <v>0</v>
      </c>
      <c r="N48" s="147">
        <v>0</v>
      </c>
      <c r="O48" s="149">
        <v>0</v>
      </c>
      <c r="P48" s="147">
        <v>0</v>
      </c>
      <c r="Q48" s="147">
        <v>0</v>
      </c>
      <c r="R48" s="184">
        <v>0</v>
      </c>
      <c r="S48" s="137">
        <v>0</v>
      </c>
      <c r="T48" s="183">
        <v>0</v>
      </c>
      <c r="U48" s="138">
        <v>0</v>
      </c>
      <c r="V48" s="192">
        <f t="shared" si="0"/>
        <v>0</v>
      </c>
      <c r="W48" s="147">
        <v>0</v>
      </c>
      <c r="X48" s="147">
        <v>0</v>
      </c>
      <c r="Y48" s="147">
        <v>0</v>
      </c>
      <c r="Z48" s="184">
        <v>0</v>
      </c>
      <c r="AA48" s="192" t="str">
        <f t="shared" si="1"/>
        <v>-</v>
      </c>
      <c r="AB48" s="146">
        <v>0</v>
      </c>
      <c r="AC48" s="147">
        <v>0</v>
      </c>
      <c r="AD48" s="147">
        <v>0</v>
      </c>
      <c r="AE48" s="123">
        <f t="shared" si="2"/>
        <v>0</v>
      </c>
    </row>
    <row r="49" spans="1:31" s="1" customFormat="1" ht="14.25" customHeight="1" thickBot="1" x14ac:dyDescent="0.25">
      <c r="A49" s="43" t="s">
        <v>112</v>
      </c>
      <c r="B49" s="152">
        <v>0</v>
      </c>
      <c r="C49" s="151">
        <v>0</v>
      </c>
      <c r="D49" s="151">
        <v>0</v>
      </c>
      <c r="E49" s="169">
        <f t="shared" si="11"/>
        <v>0</v>
      </c>
      <c r="F49" s="151">
        <v>0</v>
      </c>
      <c r="G49" s="151">
        <v>0</v>
      </c>
      <c r="H49" s="153">
        <v>0</v>
      </c>
      <c r="I49" s="151">
        <v>0</v>
      </c>
      <c r="J49" s="151">
        <v>0</v>
      </c>
      <c r="K49" s="151">
        <v>0</v>
      </c>
      <c r="L49" s="151">
        <v>0</v>
      </c>
      <c r="M49" s="164">
        <f t="shared" si="12"/>
        <v>0</v>
      </c>
      <c r="N49" s="177">
        <v>0</v>
      </c>
      <c r="O49" s="178">
        <v>0</v>
      </c>
      <c r="P49" s="177">
        <v>0</v>
      </c>
      <c r="Q49" s="177">
        <v>0</v>
      </c>
      <c r="R49" s="191">
        <v>0</v>
      </c>
      <c r="S49" s="195">
        <v>0</v>
      </c>
      <c r="T49" s="189">
        <v>0</v>
      </c>
      <c r="U49" s="203">
        <v>0</v>
      </c>
      <c r="V49" s="193">
        <f t="shared" si="0"/>
        <v>0</v>
      </c>
      <c r="W49" s="177">
        <v>0</v>
      </c>
      <c r="X49" s="177">
        <v>0</v>
      </c>
      <c r="Y49" s="177">
        <v>0</v>
      </c>
      <c r="Z49" s="191">
        <v>0</v>
      </c>
      <c r="AA49" s="193" t="str">
        <f t="shared" si="1"/>
        <v>-</v>
      </c>
      <c r="AB49" s="146">
        <v>0</v>
      </c>
      <c r="AC49" s="147">
        <v>0</v>
      </c>
      <c r="AD49" s="147">
        <v>0</v>
      </c>
      <c r="AE49" s="123">
        <f t="shared" si="2"/>
        <v>0</v>
      </c>
    </row>
    <row r="50" spans="1:31" s="1" customFormat="1" ht="14.25" customHeight="1" thickBot="1" x14ac:dyDescent="0.25">
      <c r="A50" s="235"/>
      <c r="B50" s="168">
        <f t="shared" ref="B50:U50" si="13">SUM(B37:B49)</f>
        <v>5</v>
      </c>
      <c r="C50" s="172">
        <f t="shared" si="13"/>
        <v>6</v>
      </c>
      <c r="D50" s="172">
        <f t="shared" si="13"/>
        <v>10</v>
      </c>
      <c r="E50" s="172">
        <f t="shared" si="13"/>
        <v>21</v>
      </c>
      <c r="F50" s="165">
        <f t="shared" si="13"/>
        <v>1300</v>
      </c>
      <c r="G50" s="165">
        <f t="shared" si="13"/>
        <v>1700</v>
      </c>
      <c r="H50" s="165">
        <f t="shared" si="13"/>
        <v>0</v>
      </c>
      <c r="I50" s="165">
        <f t="shared" si="13"/>
        <v>0</v>
      </c>
      <c r="J50" s="165">
        <f t="shared" si="13"/>
        <v>0</v>
      </c>
      <c r="K50" s="165">
        <f t="shared" si="13"/>
        <v>0</v>
      </c>
      <c r="L50" s="165">
        <f t="shared" si="13"/>
        <v>0</v>
      </c>
      <c r="M50" s="165">
        <f t="shared" si="13"/>
        <v>3000</v>
      </c>
      <c r="N50" s="176">
        <f t="shared" si="13"/>
        <v>3</v>
      </c>
      <c r="O50" s="174">
        <f t="shared" si="13"/>
        <v>2</v>
      </c>
      <c r="P50" s="176">
        <f t="shared" si="13"/>
        <v>0</v>
      </c>
      <c r="Q50" s="176">
        <f t="shared" si="13"/>
        <v>0</v>
      </c>
      <c r="R50" s="187">
        <f t="shared" si="13"/>
        <v>0</v>
      </c>
      <c r="S50" s="198">
        <f t="shared" si="13"/>
        <v>0</v>
      </c>
      <c r="T50" s="196">
        <f t="shared" si="13"/>
        <v>0</v>
      </c>
      <c r="U50" s="204">
        <f t="shared" si="13"/>
        <v>0</v>
      </c>
      <c r="V50" s="206">
        <f>IF(SUM(V37:V49)&gt;0,AVERAGEIF(V37:V49,"&lt;&gt;0"),0)</f>
        <v>0</v>
      </c>
      <c r="W50" s="176">
        <f>SUM(W37:W49)</f>
        <v>0</v>
      </c>
      <c r="X50" s="176">
        <f>SUM(X37:X49)</f>
        <v>0</v>
      </c>
      <c r="Y50" s="176">
        <f>SUM(Y37:Y49)</f>
        <v>0</v>
      </c>
      <c r="Z50" s="187">
        <f>SUM(Z37:Z49)</f>
        <v>0</v>
      </c>
      <c r="AA50" s="161">
        <f>IF(SUM(AA37:AA49),AVERAGEIF(AA37:AA49,"&lt;&gt;0"),0)</f>
        <v>0</v>
      </c>
      <c r="AB50" s="168">
        <f>SUM(AB37:AB49)</f>
        <v>0</v>
      </c>
      <c r="AC50" s="165">
        <f>SUM(AC37:AC49)</f>
        <v>0</v>
      </c>
      <c r="AD50" s="165">
        <f>SUM(AD37:AD49)</f>
        <v>0</v>
      </c>
      <c r="AE50" s="127">
        <f>SUM(AE37:AE49)</f>
        <v>0</v>
      </c>
    </row>
    <row r="51" spans="1:31" s="1" customFormat="1" thickBot="1" x14ac:dyDescent="0.25">
      <c r="A51" s="77" t="s">
        <v>119</v>
      </c>
      <c r="B51" s="181">
        <f>B10+B15+B21+B26+B36+B50</f>
        <v>669</v>
      </c>
      <c r="C51" s="182">
        <f t="shared" ref="C51:U51" si="14">C10+C15+C21+C26+C36+C50</f>
        <v>870</v>
      </c>
      <c r="D51" s="182">
        <f t="shared" si="14"/>
        <v>963</v>
      </c>
      <c r="E51" s="182">
        <f t="shared" si="14"/>
        <v>2502</v>
      </c>
      <c r="F51" s="182">
        <f t="shared" si="14"/>
        <v>336930</v>
      </c>
      <c r="G51" s="182">
        <f t="shared" si="14"/>
        <v>174370</v>
      </c>
      <c r="H51" s="182">
        <f t="shared" si="14"/>
        <v>0</v>
      </c>
      <c r="I51" s="182">
        <f t="shared" si="14"/>
        <v>25810</v>
      </c>
      <c r="J51" s="182">
        <f t="shared" si="14"/>
        <v>0</v>
      </c>
      <c r="K51" s="182">
        <f t="shared" si="14"/>
        <v>700</v>
      </c>
      <c r="L51" s="182">
        <f t="shared" si="14"/>
        <v>100315</v>
      </c>
      <c r="M51" s="182">
        <f t="shared" si="14"/>
        <v>638125</v>
      </c>
      <c r="N51" s="182">
        <f t="shared" si="14"/>
        <v>74</v>
      </c>
      <c r="O51" s="182">
        <f t="shared" si="14"/>
        <v>31</v>
      </c>
      <c r="P51" s="180">
        <f t="shared" si="14"/>
        <v>0</v>
      </c>
      <c r="Q51" s="188">
        <f t="shared" si="14"/>
        <v>0</v>
      </c>
      <c r="R51" s="128">
        <f t="shared" si="14"/>
        <v>0</v>
      </c>
      <c r="S51" s="199">
        <f t="shared" si="14"/>
        <v>0</v>
      </c>
      <c r="T51" s="197">
        <f t="shared" si="14"/>
        <v>0</v>
      </c>
      <c r="U51" s="128">
        <f t="shared" si="14"/>
        <v>0</v>
      </c>
      <c r="V51" s="190">
        <f>IF(SUM(V6:V50)&gt;0,AVERAGEIF(V6:V50, "&lt;&gt;0"),0)</f>
        <v>0</v>
      </c>
      <c r="W51" s="179">
        <f>W10+W15+W21+W26+W36+W50</f>
        <v>0</v>
      </c>
      <c r="X51" s="188">
        <f>X10+X15+X21+X26+X36+X50</f>
        <v>0</v>
      </c>
      <c r="Y51" s="180">
        <f>Y10+Y15+Y21+Y26+Y36+Y50</f>
        <v>0</v>
      </c>
      <c r="Z51" s="180">
        <f>Z10+Z15+Z21+Z26+Z36+Z50</f>
        <v>0</v>
      </c>
      <c r="AA51" s="190">
        <f>IF(SUM(AA6:AA50)&gt;0,AVERAGEIF(AA6:AA50, "&lt;&gt;0"),0)</f>
        <v>0</v>
      </c>
      <c r="AB51" s="179">
        <f>AB10+AB15+AB21+AB26+AB36+AB50</f>
        <v>0</v>
      </c>
      <c r="AC51" s="180">
        <f>AC10+AC15+AC21+AC26+AC36+AC50</f>
        <v>0</v>
      </c>
      <c r="AD51" s="180">
        <f>AD10+AD15+AD21+AD26+AD36+AD50</f>
        <v>0</v>
      </c>
      <c r="AE51" s="190">
        <f>AE10+AE15+AE21+AE26+AE36+AE50</f>
        <v>0</v>
      </c>
    </row>
    <row r="55" spans="1:31" x14ac:dyDescent="0.25">
      <c r="C55" s="133"/>
    </row>
  </sheetData>
  <sheetProtection password="A367" sheet="1" objects="1" scenarios="1"/>
  <mergeCells count="8">
    <mergeCell ref="S4:V4"/>
    <mergeCell ref="W4:AA4"/>
    <mergeCell ref="AB4:AE4"/>
    <mergeCell ref="A1:A3"/>
    <mergeCell ref="B4:E4"/>
    <mergeCell ref="F4:M4"/>
    <mergeCell ref="N4:O4"/>
    <mergeCell ref="P4:R4"/>
  </mergeCells>
  <conditionalFormatting sqref="S27:S35 U27:U35">
    <cfRule type="containsBlanks" dxfId="139" priority="34">
      <formula>LEN(TRIM(S27))=0</formula>
    </cfRule>
  </conditionalFormatting>
  <conditionalFormatting sqref="S37:S49 U37:U49">
    <cfRule type="containsBlanks" dxfId="138" priority="33">
      <formula>LEN(TRIM(S37))=0</formula>
    </cfRule>
  </conditionalFormatting>
  <conditionalFormatting sqref="AA6:AA9">
    <cfRule type="containsBlanks" dxfId="137" priority="32">
      <formula>LEN(TRIM(AA6))=0</formula>
    </cfRule>
  </conditionalFormatting>
  <conditionalFormatting sqref="AA11:AA14">
    <cfRule type="containsBlanks" dxfId="136" priority="31">
      <formula>LEN(TRIM(AA11))=0</formula>
    </cfRule>
  </conditionalFormatting>
  <conditionalFormatting sqref="AA16:AA20">
    <cfRule type="containsBlanks" dxfId="135" priority="30">
      <formula>LEN(TRIM(AA16))=0</formula>
    </cfRule>
  </conditionalFormatting>
  <conditionalFormatting sqref="AB11:AD11">
    <cfRule type="containsBlanks" dxfId="134" priority="49">
      <formula>LEN(TRIM(AB11))=0</formula>
    </cfRule>
  </conditionalFormatting>
  <conditionalFormatting sqref="AB8:AD8">
    <cfRule type="containsBlanks" dxfId="133" priority="48">
      <formula>LEN(TRIM(AB8))=0</formula>
    </cfRule>
  </conditionalFormatting>
  <conditionalFormatting sqref="AB9:AD9">
    <cfRule type="containsBlanks" dxfId="132" priority="47">
      <formula>LEN(TRIM(AB9))=0</formula>
    </cfRule>
  </conditionalFormatting>
  <conditionalFormatting sqref="AE11:AE14">
    <cfRule type="containsBlanks" dxfId="131" priority="46">
      <formula>LEN(TRIM(AE11))=0</formula>
    </cfRule>
  </conditionalFormatting>
  <conditionalFormatting sqref="AE16:AE20">
    <cfRule type="containsBlanks" dxfId="130" priority="45">
      <formula>LEN(TRIM(AE16))=0</formula>
    </cfRule>
  </conditionalFormatting>
  <conditionalFormatting sqref="AE22:AE25">
    <cfRule type="containsBlanks" dxfId="129" priority="44">
      <formula>LEN(TRIM(AE22))=0</formula>
    </cfRule>
  </conditionalFormatting>
  <conditionalFormatting sqref="V27:V35">
    <cfRule type="containsBlanks" dxfId="128" priority="23">
      <formula>LEN(TRIM(V27))=0</formula>
    </cfRule>
  </conditionalFormatting>
  <conditionalFormatting sqref="V37:V49">
    <cfRule type="containsBlanks" dxfId="127" priority="22">
      <formula>LEN(TRIM(V37))=0</formula>
    </cfRule>
  </conditionalFormatting>
  <conditionalFormatting sqref="P12:P14 P22:P49 P16:P20 P6:P7 R6:R7 R16:R20 R22:R49 R12:R14">
    <cfRule type="containsBlanks" dxfId="126" priority="21">
      <formula>LEN(TRIM(P6))=0</formula>
    </cfRule>
  </conditionalFormatting>
  <conditionalFormatting sqref="P11 R11">
    <cfRule type="containsBlanks" dxfId="125" priority="20">
      <formula>LEN(TRIM(P11))=0</formula>
    </cfRule>
  </conditionalFormatting>
  <conditionalFormatting sqref="P8 R8">
    <cfRule type="containsBlanks" dxfId="124" priority="19">
      <formula>LEN(TRIM(P8))=0</formula>
    </cfRule>
  </conditionalFormatting>
  <conditionalFormatting sqref="G6:I9 G11:I14 K11:O14 K6:O9">
    <cfRule type="containsBlanks" dxfId="123" priority="80">
      <formula>LEN(TRIM(G6))=0</formula>
    </cfRule>
  </conditionalFormatting>
  <conditionalFormatting sqref="G26:I26 G36:I36 K36:O36 K26:O26">
    <cfRule type="containsBlanks" dxfId="122" priority="81">
      <formula>LEN(TRIM(G26))=0</formula>
    </cfRule>
  </conditionalFormatting>
  <conditionalFormatting sqref="T22:T25">
    <cfRule type="containsBlanks" dxfId="121" priority="10">
      <formula>LEN(TRIM(T22))=0</formula>
    </cfRule>
  </conditionalFormatting>
  <conditionalFormatting sqref="G16:I20 K16:O20">
    <cfRule type="containsBlanks" dxfId="120" priority="79">
      <formula>LEN(TRIM(G16))=0</formula>
    </cfRule>
  </conditionalFormatting>
  <conditionalFormatting sqref="G22:I25 K22:O25">
    <cfRule type="containsBlanks" dxfId="119" priority="78">
      <formula>LEN(TRIM(G22))=0</formula>
    </cfRule>
  </conditionalFormatting>
  <conditionalFormatting sqref="G27:I28 G30:I35 M29:O29 K30:O35 K27:O28">
    <cfRule type="containsBlanks" dxfId="118" priority="77">
      <formula>LEN(TRIM(G27))=0</formula>
    </cfRule>
  </conditionalFormatting>
  <conditionalFormatting sqref="G37:I49 K37:O49">
    <cfRule type="containsBlanks" dxfId="117" priority="76">
      <formula>LEN(TRIM(G37))=0</formula>
    </cfRule>
  </conditionalFormatting>
  <conditionalFormatting sqref="T11:T14">
    <cfRule type="containsBlanks" dxfId="116" priority="12">
      <formula>LEN(TRIM(T11))=0</formula>
    </cfRule>
  </conditionalFormatting>
  <conditionalFormatting sqref="T16:T20">
    <cfRule type="containsBlanks" dxfId="115" priority="11">
      <formula>LEN(TRIM(T16))=0</formula>
    </cfRule>
  </conditionalFormatting>
  <conditionalFormatting sqref="T27:T35">
    <cfRule type="containsBlanks" dxfId="114" priority="9">
      <formula>LEN(TRIM(T27))=0</formula>
    </cfRule>
  </conditionalFormatting>
  <conditionalFormatting sqref="G29:I29 K29:L29">
    <cfRule type="containsBlanks" dxfId="113" priority="71">
      <formula>LEN(TRIM(G29))=0</formula>
    </cfRule>
  </conditionalFormatting>
  <conditionalFormatting sqref="AA37:AA49">
    <cfRule type="containsBlanks" dxfId="112" priority="27">
      <formula>LEN(TRIM(AA37))=0</formula>
    </cfRule>
  </conditionalFormatting>
  <conditionalFormatting sqref="V11:V14">
    <cfRule type="containsBlanks" dxfId="111" priority="26">
      <formula>LEN(TRIM(V11))=0</formula>
    </cfRule>
  </conditionalFormatting>
  <conditionalFormatting sqref="V16:V20">
    <cfRule type="containsBlanks" dxfId="110" priority="25">
      <formula>LEN(TRIM(V16))=0</formula>
    </cfRule>
  </conditionalFormatting>
  <conditionalFormatting sqref="V22:V25">
    <cfRule type="containsBlanks" dxfId="109" priority="24">
      <formula>LEN(TRIM(V22))=0</formula>
    </cfRule>
  </conditionalFormatting>
  <conditionalFormatting sqref="P9 R9">
    <cfRule type="containsBlanks" dxfId="108" priority="18">
      <formula>LEN(TRIM(P9))=0</formula>
    </cfRule>
  </conditionalFormatting>
  <conditionalFormatting sqref="Q8">
    <cfRule type="containsBlanks" dxfId="107" priority="15">
      <formula>LEN(TRIM(Q8))=0</formula>
    </cfRule>
  </conditionalFormatting>
  <conditionalFormatting sqref="Q6:Q7 Q16:Q20 Q22:Q49 Q12:Q14">
    <cfRule type="containsBlanks" dxfId="106" priority="17">
      <formula>LEN(TRIM(Q6))=0</formula>
    </cfRule>
  </conditionalFormatting>
  <conditionalFormatting sqref="Q11">
    <cfRule type="containsBlanks" dxfId="105" priority="16">
      <formula>LEN(TRIM(Q11))=0</formula>
    </cfRule>
  </conditionalFormatting>
  <conditionalFormatting sqref="Q9">
    <cfRule type="containsBlanks" dxfId="104" priority="14">
      <formula>LEN(TRIM(Q9))=0</formula>
    </cfRule>
  </conditionalFormatting>
  <conditionalFormatting sqref="T6:T9 T36 T26">
    <cfRule type="containsBlanks" dxfId="103" priority="13">
      <formula>LEN(TRIM(T6))=0</formula>
    </cfRule>
  </conditionalFormatting>
  <conditionalFormatting sqref="T37:T49">
    <cfRule type="containsBlanks" dxfId="102" priority="8">
      <formula>LEN(TRIM(T37))=0</formula>
    </cfRule>
  </conditionalFormatting>
  <conditionalFormatting sqref="AB26:AE26 AB12:AD14 AB6:AE6 AB7:AD7 AE7:AE9 AB16:AD20 AB22:AD25 AB36:AE36 AB27:AD35 AB37:AD49">
    <cfRule type="containsBlanks" dxfId="101" priority="50">
      <formula>LEN(TRIM(AB6))=0</formula>
    </cfRule>
  </conditionalFormatting>
  <conditionalFormatting sqref="AE27:AE35">
    <cfRule type="containsBlanks" dxfId="100" priority="43">
      <formula>LEN(TRIM(AE27))=0</formula>
    </cfRule>
  </conditionalFormatting>
  <conditionalFormatting sqref="AE37:AE49">
    <cfRule type="containsBlanks" dxfId="99" priority="42">
      <formula>LEN(TRIM(AE37))=0</formula>
    </cfRule>
  </conditionalFormatting>
  <conditionalFormatting sqref="S26 S36 W6:Z7 W22:Z49 W16:Z20 W12:Z14 S6:S9 U6:V9 U36 U26">
    <cfRule type="containsBlanks" dxfId="98" priority="41">
      <formula>LEN(TRIM(S6))=0</formula>
    </cfRule>
  </conditionalFormatting>
  <conditionalFormatting sqref="W11:Z11">
    <cfRule type="containsBlanks" dxfId="97" priority="40">
      <formula>LEN(TRIM(W11))=0</formula>
    </cfRule>
  </conditionalFormatting>
  <conditionalFormatting sqref="W8:Z8">
    <cfRule type="containsBlanks" dxfId="96" priority="39">
      <formula>LEN(TRIM(W8))=0</formula>
    </cfRule>
  </conditionalFormatting>
  <conditionalFormatting sqref="W9:Z9">
    <cfRule type="containsBlanks" dxfId="95" priority="38">
      <formula>LEN(TRIM(W9))=0</formula>
    </cfRule>
  </conditionalFormatting>
  <conditionalFormatting sqref="S11:S14 U11:U14">
    <cfRule type="containsBlanks" dxfId="94" priority="37">
      <formula>LEN(TRIM(S11))=0</formula>
    </cfRule>
  </conditionalFormatting>
  <conditionalFormatting sqref="S16:S20 U16:U20">
    <cfRule type="containsBlanks" dxfId="93" priority="36">
      <formula>LEN(TRIM(S16))=0</formula>
    </cfRule>
  </conditionalFormatting>
  <conditionalFormatting sqref="S22:S25 U22:U25">
    <cfRule type="containsBlanks" dxfId="92" priority="35">
      <formula>LEN(TRIM(S22))=0</formula>
    </cfRule>
  </conditionalFormatting>
  <conditionalFormatting sqref="AA22:AA25">
    <cfRule type="containsBlanks" dxfId="91" priority="29">
      <formula>LEN(TRIM(AA22))=0</formula>
    </cfRule>
  </conditionalFormatting>
  <conditionalFormatting sqref="AA27:AA35">
    <cfRule type="containsBlanks" dxfId="90" priority="28">
      <formula>LEN(TRIM(AA27))=0</formula>
    </cfRule>
  </conditionalFormatting>
  <conditionalFormatting sqref="J6:J9 J11:J14">
    <cfRule type="containsBlanks" dxfId="89" priority="6">
      <formula>LEN(TRIM(J6))=0</formula>
    </cfRule>
  </conditionalFormatting>
  <conditionalFormatting sqref="J26 J36">
    <cfRule type="containsBlanks" dxfId="88" priority="7">
      <formula>LEN(TRIM(J26))=0</formula>
    </cfRule>
  </conditionalFormatting>
  <conditionalFormatting sqref="J16:J20">
    <cfRule type="containsBlanks" dxfId="87" priority="5">
      <formula>LEN(TRIM(J16))=0</formula>
    </cfRule>
  </conditionalFormatting>
  <conditionalFormatting sqref="J22:J25">
    <cfRule type="containsBlanks" dxfId="86" priority="4">
      <formula>LEN(TRIM(J22))=0</formula>
    </cfRule>
  </conditionalFormatting>
  <conditionalFormatting sqref="J27:J28 J30:J35">
    <cfRule type="containsBlanks" dxfId="85" priority="3">
      <formula>LEN(TRIM(J27))=0</formula>
    </cfRule>
  </conditionalFormatting>
  <conditionalFormatting sqref="J37:J49">
    <cfRule type="containsBlanks" dxfId="84" priority="2">
      <formula>LEN(TRIM(J37))=0</formula>
    </cfRule>
  </conditionalFormatting>
  <conditionalFormatting sqref="J29">
    <cfRule type="containsBlanks" dxfId="83" priority="1">
      <formula>LEN(TRIM(J29))=0</formula>
    </cfRule>
  </conditionalFormatting>
  <dataValidations count="1">
    <dataValidation type="whole" allowBlank="1" showInputMessage="1" showErrorMessage="1" errorTitle="ERROR!" error="Sorry, the value you entered is invalid! It must be 0 or 1." prompt="Value must be 1 if COD is between 1st  to 3rd, else 0." sqref="S6:U9 S11:U14 S16:U20 S22:U25 S27:U35 S37:U49">
      <formula1>0</formula1>
      <formula2>1</formula2>
    </dataValidation>
  </dataValidation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E55"/>
  <sheetViews>
    <sheetView zoomScaleNormal="100" workbookViewId="0">
      <pane xSplit="1" ySplit="5" topLeftCell="B6" activePane="bottomRight" state="frozen"/>
      <selection pane="topRight" activeCell="F1" sqref="F1"/>
      <selection pane="bottomLeft" activeCell="A6" sqref="A6"/>
      <selection pane="bottomRight" sqref="A1:A3"/>
    </sheetView>
  </sheetViews>
  <sheetFormatPr defaultRowHeight="15" x14ac:dyDescent="0.25"/>
  <cols>
    <col min="1" max="1" width="23" style="1" customWidth="1"/>
    <col min="2" max="3" width="10.85546875" style="1" customWidth="1"/>
    <col min="4" max="4" width="12.42578125" style="1" customWidth="1"/>
    <col min="5" max="5" width="13.140625" style="1" customWidth="1"/>
    <col min="6" max="6" width="12.5703125" style="1" customWidth="1"/>
    <col min="7" max="7" width="15" style="1" customWidth="1"/>
    <col min="8" max="8" width="15.140625" style="1" customWidth="1"/>
    <col min="9" max="9" width="15.85546875" style="1" customWidth="1"/>
    <col min="10" max="10" width="15.85546875" style="129" customWidth="1"/>
    <col min="11" max="11" width="14.5703125" style="1" customWidth="1"/>
    <col min="12" max="12" width="18.140625" style="1" customWidth="1"/>
    <col min="13" max="13" width="17.140625" style="1" customWidth="1"/>
    <col min="14" max="14" width="17.42578125" style="1" customWidth="1"/>
    <col min="15" max="15" width="16.5703125" style="1" customWidth="1"/>
    <col min="16" max="21" width="16.7109375" style="129" customWidth="1"/>
    <col min="22" max="23" width="17.28515625" style="129" customWidth="1"/>
    <col min="24" max="24" width="16.7109375" style="129" customWidth="1"/>
    <col min="25" max="26" width="15.28515625" style="129" customWidth="1"/>
    <col min="27" max="27" width="15.85546875" style="129" customWidth="1"/>
    <col min="28" max="28" width="18.7109375" style="129" customWidth="1"/>
    <col min="29" max="29" width="20.140625" style="129" customWidth="1"/>
    <col min="30" max="30" width="18.140625" style="129" customWidth="1"/>
    <col min="31" max="31" width="17.140625" style="129" customWidth="1"/>
    <col min="32" max="16384" width="9.140625" style="12"/>
  </cols>
  <sheetData>
    <row r="1" spans="1:31" s="5" customFormat="1" ht="14.25" customHeight="1" x14ac:dyDescent="0.2">
      <c r="A1" s="288"/>
      <c r="J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</row>
    <row r="2" spans="1:31" s="5" customFormat="1" ht="14.25" customHeight="1" x14ac:dyDescent="0.2">
      <c r="A2" s="288"/>
      <c r="J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</row>
    <row r="3" spans="1:31" s="5" customFormat="1" ht="14.25" customHeight="1" thickBot="1" x14ac:dyDescent="0.25">
      <c r="A3" s="288"/>
      <c r="J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</row>
    <row r="4" spans="1:31" s="1" customFormat="1" ht="15.75" thickBot="1" x14ac:dyDescent="0.25">
      <c r="A4" s="25"/>
      <c r="B4" s="292" t="s">
        <v>122</v>
      </c>
      <c r="C4" s="293"/>
      <c r="D4" s="293"/>
      <c r="E4" s="294"/>
      <c r="F4" s="286" t="s">
        <v>127</v>
      </c>
      <c r="G4" s="286"/>
      <c r="H4" s="286"/>
      <c r="I4" s="286"/>
      <c r="J4" s="286"/>
      <c r="K4" s="286"/>
      <c r="L4" s="286"/>
      <c r="M4" s="286"/>
      <c r="N4" s="292" t="s">
        <v>67</v>
      </c>
      <c r="O4" s="294"/>
      <c r="P4" s="285" t="s">
        <v>152</v>
      </c>
      <c r="Q4" s="286"/>
      <c r="R4" s="287"/>
      <c r="S4" s="285" t="s">
        <v>163</v>
      </c>
      <c r="T4" s="286"/>
      <c r="U4" s="286"/>
      <c r="V4" s="287"/>
      <c r="W4" s="285" t="s">
        <v>156</v>
      </c>
      <c r="X4" s="286"/>
      <c r="Y4" s="286"/>
      <c r="Z4" s="286"/>
      <c r="AA4" s="287"/>
      <c r="AB4" s="282" t="s">
        <v>181</v>
      </c>
      <c r="AC4" s="283"/>
      <c r="AD4" s="283"/>
      <c r="AE4" s="284"/>
    </row>
    <row r="5" spans="1:31" s="1" customFormat="1" ht="16.5" customHeight="1" x14ac:dyDescent="0.25">
      <c r="A5" s="28" t="s">
        <v>0</v>
      </c>
      <c r="B5" s="26" t="s">
        <v>7</v>
      </c>
      <c r="C5" s="27" t="s">
        <v>8</v>
      </c>
      <c r="D5" s="27" t="s">
        <v>9</v>
      </c>
      <c r="E5" s="27" t="s">
        <v>10</v>
      </c>
      <c r="F5" s="27" t="s">
        <v>187</v>
      </c>
      <c r="G5" s="27" t="s">
        <v>11</v>
      </c>
      <c r="H5" s="27" t="s">
        <v>125</v>
      </c>
      <c r="I5" s="27" t="s">
        <v>126</v>
      </c>
      <c r="J5" s="132" t="s">
        <v>188</v>
      </c>
      <c r="K5" s="27" t="s">
        <v>150</v>
      </c>
      <c r="L5" s="27" t="s">
        <v>12</v>
      </c>
      <c r="M5" s="28" t="s">
        <v>10</v>
      </c>
      <c r="N5" s="131" t="s">
        <v>13</v>
      </c>
      <c r="O5" s="29" t="s">
        <v>42</v>
      </c>
      <c r="P5" s="208" t="s">
        <v>153</v>
      </c>
      <c r="Q5" s="134" t="s">
        <v>155</v>
      </c>
      <c r="R5" s="135" t="s">
        <v>154</v>
      </c>
      <c r="S5" s="131" t="s">
        <v>159</v>
      </c>
      <c r="T5" s="200" t="s">
        <v>155</v>
      </c>
      <c r="U5" s="132" t="s">
        <v>154</v>
      </c>
      <c r="V5" s="136" t="s">
        <v>166</v>
      </c>
      <c r="W5" s="134" t="s">
        <v>161</v>
      </c>
      <c r="X5" s="134" t="s">
        <v>153</v>
      </c>
      <c r="Y5" s="134" t="s">
        <v>155</v>
      </c>
      <c r="Z5" s="135" t="s">
        <v>154</v>
      </c>
      <c r="AA5" s="136" t="s">
        <v>164</v>
      </c>
      <c r="AB5" s="131" t="s">
        <v>182</v>
      </c>
      <c r="AC5" s="132" t="s">
        <v>183</v>
      </c>
      <c r="AD5" s="132" t="s">
        <v>184</v>
      </c>
      <c r="AE5" s="29" t="s">
        <v>10</v>
      </c>
    </row>
    <row r="6" spans="1:31" s="1" customFormat="1" ht="15" customHeight="1" x14ac:dyDescent="0.2">
      <c r="A6" s="30" t="s">
        <v>1</v>
      </c>
      <c r="B6" s="31">
        <v>0</v>
      </c>
      <c r="C6" s="32">
        <v>0</v>
      </c>
      <c r="D6" s="32">
        <v>0</v>
      </c>
      <c r="E6" s="47">
        <f>SUM(B6:D6)</f>
        <v>0</v>
      </c>
      <c r="F6" s="33">
        <v>0</v>
      </c>
      <c r="G6" s="33">
        <v>0</v>
      </c>
      <c r="H6" s="41">
        <v>0</v>
      </c>
      <c r="I6" s="33">
        <v>0</v>
      </c>
      <c r="J6" s="139">
        <v>0</v>
      </c>
      <c r="K6" s="32">
        <v>0</v>
      </c>
      <c r="L6" s="32">
        <v>0</v>
      </c>
      <c r="M6" s="207">
        <f>SUM(F6:L6)</f>
        <v>0</v>
      </c>
      <c r="N6" s="137">
        <v>0</v>
      </c>
      <c r="O6" s="140">
        <v>0</v>
      </c>
      <c r="P6" s="201">
        <v>0</v>
      </c>
      <c r="Q6" s="138">
        <v>0</v>
      </c>
      <c r="R6" s="201">
        <v>0</v>
      </c>
      <c r="S6" s="137">
        <v>0</v>
      </c>
      <c r="T6" s="183">
        <v>0</v>
      </c>
      <c r="U6" s="138">
        <v>0</v>
      </c>
      <c r="V6" s="192">
        <f>SUM(S6:U6)</f>
        <v>0</v>
      </c>
      <c r="W6" s="138">
        <v>0</v>
      </c>
      <c r="X6" s="138">
        <v>0</v>
      </c>
      <c r="Y6" s="138">
        <v>0</v>
      </c>
      <c r="Z6" s="183">
        <v>0</v>
      </c>
      <c r="AA6" s="192" t="str">
        <f>IF(SUM(W6:Z6)&gt;0,AVERAGEIF(W6:Z6,"&lt;&gt;0"),"-")</f>
        <v>-</v>
      </c>
      <c r="AB6" s="142">
        <v>0</v>
      </c>
      <c r="AC6" s="138">
        <v>0</v>
      </c>
      <c r="AD6" s="138">
        <v>0</v>
      </c>
      <c r="AE6" s="123">
        <f>SUM(AB6:AD6)</f>
        <v>0</v>
      </c>
    </row>
    <row r="7" spans="1:31" s="1" customFormat="1" ht="15" customHeight="1" x14ac:dyDescent="0.2">
      <c r="A7" s="30" t="s">
        <v>2</v>
      </c>
      <c r="B7" s="31">
        <v>0</v>
      </c>
      <c r="C7" s="32">
        <v>0</v>
      </c>
      <c r="D7" s="32">
        <v>0</v>
      </c>
      <c r="E7" s="47">
        <f t="shared" ref="E7:E14" si="0">SUM(B7:D7)</f>
        <v>0</v>
      </c>
      <c r="F7" s="34">
        <v>0</v>
      </c>
      <c r="G7" s="33">
        <v>0</v>
      </c>
      <c r="H7" s="41">
        <v>0</v>
      </c>
      <c r="I7" s="33">
        <v>0</v>
      </c>
      <c r="J7" s="139">
        <v>0</v>
      </c>
      <c r="K7" s="32">
        <v>0</v>
      </c>
      <c r="L7" s="32">
        <v>0</v>
      </c>
      <c r="M7" s="207">
        <f t="shared" ref="M7:M14" si="1">SUM(F7:L7)</f>
        <v>0</v>
      </c>
      <c r="N7" s="137">
        <v>0</v>
      </c>
      <c r="O7" s="140">
        <v>0</v>
      </c>
      <c r="P7" s="201">
        <v>0</v>
      </c>
      <c r="Q7" s="138">
        <v>0</v>
      </c>
      <c r="R7" s="183">
        <v>0</v>
      </c>
      <c r="S7" s="137">
        <v>0</v>
      </c>
      <c r="T7" s="183">
        <v>0</v>
      </c>
      <c r="U7" s="138">
        <v>0</v>
      </c>
      <c r="V7" s="192">
        <f t="shared" ref="V7:V49" si="2">SUM(S7:U7)</f>
        <v>0</v>
      </c>
      <c r="W7" s="138">
        <v>0</v>
      </c>
      <c r="X7" s="138">
        <v>0</v>
      </c>
      <c r="Y7" s="138">
        <v>0</v>
      </c>
      <c r="Z7" s="183">
        <v>0</v>
      </c>
      <c r="AA7" s="192" t="str">
        <f t="shared" ref="AA7:AA49" si="3">IF(SUM(W7:Z7)&gt;0,AVERAGEIF(W7:Z7,"&lt;&gt;0"),"-")</f>
        <v>-</v>
      </c>
      <c r="AB7" s="142">
        <v>0</v>
      </c>
      <c r="AC7" s="138">
        <v>0</v>
      </c>
      <c r="AD7" s="138">
        <v>0</v>
      </c>
      <c r="AE7" s="123">
        <f t="shared" ref="AE7:AE49" si="4">SUM(AB7:AD7)</f>
        <v>0</v>
      </c>
    </row>
    <row r="8" spans="1:31" s="1" customFormat="1" ht="15" customHeight="1" x14ac:dyDescent="0.2">
      <c r="A8" s="30" t="s">
        <v>5</v>
      </c>
      <c r="B8" s="40">
        <v>0</v>
      </c>
      <c r="C8" s="41">
        <v>0</v>
      </c>
      <c r="D8" s="41">
        <v>0</v>
      </c>
      <c r="E8" s="47">
        <f t="shared" si="0"/>
        <v>0</v>
      </c>
      <c r="F8" s="41">
        <v>0</v>
      </c>
      <c r="G8" s="41">
        <v>0</v>
      </c>
      <c r="H8" s="41">
        <v>0</v>
      </c>
      <c r="I8" s="41">
        <v>0</v>
      </c>
      <c r="J8" s="147">
        <v>0</v>
      </c>
      <c r="K8" s="41">
        <v>0</v>
      </c>
      <c r="L8" s="41">
        <v>0</v>
      </c>
      <c r="M8" s="207">
        <f t="shared" si="1"/>
        <v>0</v>
      </c>
      <c r="N8" s="146">
        <v>0</v>
      </c>
      <c r="O8" s="149">
        <v>0</v>
      </c>
      <c r="P8" s="202">
        <v>0</v>
      </c>
      <c r="Q8" s="147">
        <v>0</v>
      </c>
      <c r="R8" s="184">
        <v>0</v>
      </c>
      <c r="S8" s="137">
        <v>0</v>
      </c>
      <c r="T8" s="183">
        <v>0</v>
      </c>
      <c r="U8" s="138">
        <v>0</v>
      </c>
      <c r="V8" s="192">
        <f t="shared" si="2"/>
        <v>0</v>
      </c>
      <c r="W8" s="147">
        <v>0</v>
      </c>
      <c r="X8" s="147">
        <v>0</v>
      </c>
      <c r="Y8" s="147">
        <v>0</v>
      </c>
      <c r="Z8" s="184">
        <v>0</v>
      </c>
      <c r="AA8" s="192" t="str">
        <f t="shared" si="3"/>
        <v>-</v>
      </c>
      <c r="AB8" s="146">
        <v>0</v>
      </c>
      <c r="AC8" s="147">
        <v>0</v>
      </c>
      <c r="AD8" s="147">
        <v>0</v>
      </c>
      <c r="AE8" s="123">
        <f t="shared" si="4"/>
        <v>0</v>
      </c>
    </row>
    <row r="9" spans="1:31" s="1" customFormat="1" ht="15" customHeight="1" x14ac:dyDescent="0.2">
      <c r="A9" s="30" t="s">
        <v>6</v>
      </c>
      <c r="B9" s="40">
        <v>0</v>
      </c>
      <c r="C9" s="41">
        <v>0</v>
      </c>
      <c r="D9" s="41">
        <v>0</v>
      </c>
      <c r="E9" s="47">
        <f t="shared" si="0"/>
        <v>0</v>
      </c>
      <c r="F9" s="41">
        <v>0</v>
      </c>
      <c r="G9" s="41">
        <v>0</v>
      </c>
      <c r="H9" s="41">
        <v>0</v>
      </c>
      <c r="I9" s="41">
        <v>0</v>
      </c>
      <c r="J9" s="147">
        <v>0</v>
      </c>
      <c r="K9" s="41">
        <v>0</v>
      </c>
      <c r="L9" s="41">
        <v>0</v>
      </c>
      <c r="M9" s="207">
        <f t="shared" si="1"/>
        <v>0</v>
      </c>
      <c r="N9" s="146">
        <v>0</v>
      </c>
      <c r="O9" s="149">
        <v>0</v>
      </c>
      <c r="P9" s="202">
        <v>0</v>
      </c>
      <c r="Q9" s="147">
        <v>0</v>
      </c>
      <c r="R9" s="184">
        <v>0</v>
      </c>
      <c r="S9" s="137">
        <v>0</v>
      </c>
      <c r="T9" s="183">
        <v>0</v>
      </c>
      <c r="U9" s="138">
        <v>0</v>
      </c>
      <c r="V9" s="192">
        <f t="shared" si="2"/>
        <v>0</v>
      </c>
      <c r="W9" s="147">
        <v>0</v>
      </c>
      <c r="X9" s="147">
        <v>0</v>
      </c>
      <c r="Y9" s="147">
        <v>0</v>
      </c>
      <c r="Z9" s="184">
        <v>0</v>
      </c>
      <c r="AA9" s="192" t="str">
        <f t="shared" si="3"/>
        <v>-</v>
      </c>
      <c r="AB9" s="146">
        <v>0</v>
      </c>
      <c r="AC9" s="147">
        <v>0</v>
      </c>
      <c r="AD9" s="147">
        <v>0</v>
      </c>
      <c r="AE9" s="123">
        <f t="shared" si="4"/>
        <v>0</v>
      </c>
    </row>
    <row r="10" spans="1:31" s="1" customFormat="1" ht="15" customHeight="1" x14ac:dyDescent="0.2">
      <c r="A10" s="237"/>
      <c r="B10" s="59">
        <f>SUM(B6:B9)</f>
        <v>0</v>
      </c>
      <c r="C10" s="48">
        <f t="shared" ref="C10:U10" si="5">SUM(C6:C9)</f>
        <v>0</v>
      </c>
      <c r="D10" s="48">
        <f t="shared" si="5"/>
        <v>0</v>
      </c>
      <c r="E10" s="48">
        <f t="shared" si="5"/>
        <v>0</v>
      </c>
      <c r="F10" s="48">
        <f t="shared" si="5"/>
        <v>0</v>
      </c>
      <c r="G10" s="48">
        <f t="shared" si="5"/>
        <v>0</v>
      </c>
      <c r="H10" s="48">
        <f t="shared" si="5"/>
        <v>0</v>
      </c>
      <c r="I10" s="48">
        <f t="shared" si="5"/>
        <v>0</v>
      </c>
      <c r="J10" s="156">
        <f t="shared" si="5"/>
        <v>0</v>
      </c>
      <c r="K10" s="48">
        <f t="shared" si="5"/>
        <v>0</v>
      </c>
      <c r="L10" s="48">
        <f t="shared" si="5"/>
        <v>0</v>
      </c>
      <c r="M10" s="171">
        <f t="shared" si="5"/>
        <v>0</v>
      </c>
      <c r="N10" s="194">
        <f t="shared" si="5"/>
        <v>0</v>
      </c>
      <c r="O10" s="161">
        <f t="shared" si="5"/>
        <v>0</v>
      </c>
      <c r="P10" s="175">
        <f t="shared" si="5"/>
        <v>0</v>
      </c>
      <c r="Q10" s="156">
        <f t="shared" si="5"/>
        <v>0</v>
      </c>
      <c r="R10" s="173">
        <f t="shared" si="5"/>
        <v>0</v>
      </c>
      <c r="S10" s="194">
        <f t="shared" si="5"/>
        <v>0</v>
      </c>
      <c r="T10" s="173">
        <f t="shared" si="5"/>
        <v>0</v>
      </c>
      <c r="U10" s="156">
        <f t="shared" si="5"/>
        <v>0</v>
      </c>
      <c r="V10" s="161">
        <f>IF(SUM(V6:V9)&gt;0,AVERAGEIF(V6:V9,"&lt;&gt;0"),0)</f>
        <v>0</v>
      </c>
      <c r="W10" s="175">
        <f>SUM(W6:W9)</f>
        <v>0</v>
      </c>
      <c r="X10" s="156">
        <f>SUM(X6:X9)</f>
        <v>0</v>
      </c>
      <c r="Y10" s="156">
        <f>SUM(Y6:Y9)</f>
        <v>0</v>
      </c>
      <c r="Z10" s="171">
        <f>SUM(Z6:Z9)</f>
        <v>0</v>
      </c>
      <c r="AA10" s="161">
        <f>IF(SUM(AA6:AA9),AVERAGEIF(AA6:AA9,"&lt;&gt;0"),0)</f>
        <v>0</v>
      </c>
      <c r="AB10" s="194">
        <f>SUM(AB6:AB9)</f>
        <v>0</v>
      </c>
      <c r="AC10" s="156">
        <f>SUM(AC6:AC9)</f>
        <v>0</v>
      </c>
      <c r="AD10" s="156">
        <f>SUM(AD6:AD9)</f>
        <v>0</v>
      </c>
      <c r="AE10" s="161">
        <f>SUM(AE6:AE9)</f>
        <v>0</v>
      </c>
    </row>
    <row r="11" spans="1:31" s="1" customFormat="1" ht="15" customHeight="1" x14ac:dyDescent="0.2">
      <c r="A11" s="30" t="s">
        <v>65</v>
      </c>
      <c r="B11" s="40">
        <v>0</v>
      </c>
      <c r="C11" s="41">
        <v>0</v>
      </c>
      <c r="D11" s="41">
        <v>0</v>
      </c>
      <c r="E11" s="47">
        <f>SUM(B11:D11)</f>
        <v>0</v>
      </c>
      <c r="F11" s="41">
        <v>0</v>
      </c>
      <c r="G11" s="41">
        <v>0</v>
      </c>
      <c r="H11" s="41">
        <v>0</v>
      </c>
      <c r="I11" s="41">
        <v>0</v>
      </c>
      <c r="J11" s="147">
        <v>0</v>
      </c>
      <c r="K11" s="41">
        <v>0</v>
      </c>
      <c r="L11" s="41">
        <v>0</v>
      </c>
      <c r="M11" s="207">
        <f>SUM(F11:L11)</f>
        <v>0</v>
      </c>
      <c r="N11" s="146">
        <v>0</v>
      </c>
      <c r="O11" s="149">
        <v>0</v>
      </c>
      <c r="P11" s="202">
        <v>0</v>
      </c>
      <c r="Q11" s="147">
        <v>0</v>
      </c>
      <c r="R11" s="202">
        <v>0</v>
      </c>
      <c r="S11" s="137">
        <v>0</v>
      </c>
      <c r="T11" s="183">
        <v>0</v>
      </c>
      <c r="U11" s="138">
        <v>0</v>
      </c>
      <c r="V11" s="192">
        <f t="shared" si="2"/>
        <v>0</v>
      </c>
      <c r="W11" s="147">
        <v>0</v>
      </c>
      <c r="X11" s="147">
        <v>0</v>
      </c>
      <c r="Y11" s="147">
        <v>0</v>
      </c>
      <c r="Z11" s="184">
        <v>0</v>
      </c>
      <c r="AA11" s="192" t="str">
        <f t="shared" si="3"/>
        <v>-</v>
      </c>
      <c r="AB11" s="146">
        <v>0</v>
      </c>
      <c r="AC11" s="147">
        <v>0</v>
      </c>
      <c r="AD11" s="147">
        <v>0</v>
      </c>
      <c r="AE11" s="123">
        <f t="shared" si="4"/>
        <v>0</v>
      </c>
    </row>
    <row r="12" spans="1:31" s="1" customFormat="1" ht="15" customHeight="1" x14ac:dyDescent="0.2">
      <c r="A12" s="30" t="s">
        <v>4</v>
      </c>
      <c r="B12" s="40">
        <v>0</v>
      </c>
      <c r="C12" s="41">
        <v>0</v>
      </c>
      <c r="D12" s="41">
        <v>0</v>
      </c>
      <c r="E12" s="47">
        <f t="shared" si="0"/>
        <v>0</v>
      </c>
      <c r="F12" s="41">
        <v>0</v>
      </c>
      <c r="G12" s="41">
        <v>0</v>
      </c>
      <c r="H12" s="41">
        <v>0</v>
      </c>
      <c r="I12" s="41">
        <v>0</v>
      </c>
      <c r="J12" s="147">
        <v>0</v>
      </c>
      <c r="K12" s="41">
        <v>0</v>
      </c>
      <c r="L12" s="41">
        <v>0</v>
      </c>
      <c r="M12" s="207">
        <f t="shared" si="1"/>
        <v>0</v>
      </c>
      <c r="N12" s="146">
        <v>0</v>
      </c>
      <c r="O12" s="149">
        <v>0</v>
      </c>
      <c r="P12" s="202">
        <v>0</v>
      </c>
      <c r="Q12" s="147">
        <v>0</v>
      </c>
      <c r="R12" s="184">
        <v>0</v>
      </c>
      <c r="S12" s="137">
        <v>0</v>
      </c>
      <c r="T12" s="183">
        <v>0</v>
      </c>
      <c r="U12" s="138">
        <v>0</v>
      </c>
      <c r="V12" s="192">
        <f t="shared" si="2"/>
        <v>0</v>
      </c>
      <c r="W12" s="147">
        <v>0</v>
      </c>
      <c r="X12" s="147">
        <v>0</v>
      </c>
      <c r="Y12" s="147">
        <v>0</v>
      </c>
      <c r="Z12" s="184">
        <v>0</v>
      </c>
      <c r="AA12" s="192" t="str">
        <f t="shared" si="3"/>
        <v>-</v>
      </c>
      <c r="AB12" s="146">
        <v>0</v>
      </c>
      <c r="AC12" s="147">
        <v>0</v>
      </c>
      <c r="AD12" s="147">
        <v>0</v>
      </c>
      <c r="AE12" s="123">
        <f t="shared" si="4"/>
        <v>0</v>
      </c>
    </row>
    <row r="13" spans="1:31" s="1" customFormat="1" ht="15" customHeight="1" x14ac:dyDescent="0.2">
      <c r="A13" s="30" t="s">
        <v>3</v>
      </c>
      <c r="B13" s="40">
        <v>0</v>
      </c>
      <c r="C13" s="41">
        <v>0</v>
      </c>
      <c r="D13" s="41">
        <v>0</v>
      </c>
      <c r="E13" s="47">
        <f t="shared" si="0"/>
        <v>0</v>
      </c>
      <c r="F13" s="41">
        <v>0</v>
      </c>
      <c r="G13" s="41">
        <v>0</v>
      </c>
      <c r="H13" s="41">
        <v>0</v>
      </c>
      <c r="I13" s="41">
        <v>0</v>
      </c>
      <c r="J13" s="147">
        <v>0</v>
      </c>
      <c r="K13" s="41">
        <v>0</v>
      </c>
      <c r="L13" s="41">
        <v>0</v>
      </c>
      <c r="M13" s="207">
        <f t="shared" si="1"/>
        <v>0</v>
      </c>
      <c r="N13" s="146">
        <v>0</v>
      </c>
      <c r="O13" s="149">
        <v>0</v>
      </c>
      <c r="P13" s="202">
        <v>0</v>
      </c>
      <c r="Q13" s="147">
        <v>0</v>
      </c>
      <c r="R13" s="184">
        <v>0</v>
      </c>
      <c r="S13" s="137">
        <v>0</v>
      </c>
      <c r="T13" s="183">
        <v>0</v>
      </c>
      <c r="U13" s="138">
        <v>0</v>
      </c>
      <c r="V13" s="192">
        <f t="shared" si="2"/>
        <v>0</v>
      </c>
      <c r="W13" s="147">
        <v>0</v>
      </c>
      <c r="X13" s="147">
        <v>0</v>
      </c>
      <c r="Y13" s="147">
        <v>0</v>
      </c>
      <c r="Z13" s="184">
        <v>0</v>
      </c>
      <c r="AA13" s="192" t="str">
        <f t="shared" si="3"/>
        <v>-</v>
      </c>
      <c r="AB13" s="146">
        <v>0</v>
      </c>
      <c r="AC13" s="147">
        <v>0</v>
      </c>
      <c r="AD13" s="147">
        <v>0</v>
      </c>
      <c r="AE13" s="123">
        <f t="shared" si="4"/>
        <v>0</v>
      </c>
    </row>
    <row r="14" spans="1:31" s="1" customFormat="1" ht="15" customHeight="1" x14ac:dyDescent="0.2">
      <c r="A14" s="30" t="s">
        <v>107</v>
      </c>
      <c r="B14" s="40">
        <v>0</v>
      </c>
      <c r="C14" s="41">
        <v>0</v>
      </c>
      <c r="D14" s="41">
        <v>0</v>
      </c>
      <c r="E14" s="47">
        <f t="shared" si="0"/>
        <v>0</v>
      </c>
      <c r="F14" s="41">
        <v>0</v>
      </c>
      <c r="G14" s="41">
        <v>0</v>
      </c>
      <c r="H14" s="41">
        <v>0</v>
      </c>
      <c r="I14" s="41">
        <v>0</v>
      </c>
      <c r="J14" s="147">
        <v>0</v>
      </c>
      <c r="K14" s="41">
        <v>0</v>
      </c>
      <c r="L14" s="41">
        <v>0</v>
      </c>
      <c r="M14" s="207">
        <f t="shared" si="1"/>
        <v>0</v>
      </c>
      <c r="N14" s="146">
        <v>0</v>
      </c>
      <c r="O14" s="149">
        <v>0</v>
      </c>
      <c r="P14" s="202">
        <v>0</v>
      </c>
      <c r="Q14" s="147">
        <v>0</v>
      </c>
      <c r="R14" s="184">
        <v>0</v>
      </c>
      <c r="S14" s="137">
        <v>0</v>
      </c>
      <c r="T14" s="183">
        <v>0</v>
      </c>
      <c r="U14" s="138">
        <v>0</v>
      </c>
      <c r="V14" s="192">
        <f t="shared" si="2"/>
        <v>0</v>
      </c>
      <c r="W14" s="147">
        <v>0</v>
      </c>
      <c r="X14" s="147">
        <v>0</v>
      </c>
      <c r="Y14" s="147">
        <v>0</v>
      </c>
      <c r="Z14" s="184">
        <v>0</v>
      </c>
      <c r="AA14" s="192" t="str">
        <f t="shared" si="3"/>
        <v>-</v>
      </c>
      <c r="AB14" s="146">
        <v>0</v>
      </c>
      <c r="AC14" s="147">
        <v>0</v>
      </c>
      <c r="AD14" s="147">
        <v>0</v>
      </c>
      <c r="AE14" s="123">
        <f t="shared" si="4"/>
        <v>0</v>
      </c>
    </row>
    <row r="15" spans="1:31" s="1" customFormat="1" ht="15" customHeight="1" x14ac:dyDescent="0.2">
      <c r="A15" s="236"/>
      <c r="B15" s="59">
        <f>SUM(B11:B14)</f>
        <v>0</v>
      </c>
      <c r="C15" s="48">
        <f t="shared" ref="C15:O15" si="6">SUM(C11:C14)</f>
        <v>0</v>
      </c>
      <c r="D15" s="48">
        <f t="shared" si="6"/>
        <v>0</v>
      </c>
      <c r="E15" s="48">
        <f t="shared" si="6"/>
        <v>0</v>
      </c>
      <c r="F15" s="48">
        <f t="shared" si="6"/>
        <v>0</v>
      </c>
      <c r="G15" s="48">
        <f t="shared" si="6"/>
        <v>0</v>
      </c>
      <c r="H15" s="48">
        <f t="shared" si="6"/>
        <v>0</v>
      </c>
      <c r="I15" s="48">
        <f t="shared" si="6"/>
        <v>0</v>
      </c>
      <c r="J15" s="156">
        <f t="shared" si="6"/>
        <v>0</v>
      </c>
      <c r="K15" s="48">
        <f t="shared" si="6"/>
        <v>0</v>
      </c>
      <c r="L15" s="48">
        <f t="shared" si="6"/>
        <v>0</v>
      </c>
      <c r="M15" s="171">
        <f t="shared" si="6"/>
        <v>0</v>
      </c>
      <c r="N15" s="194">
        <f t="shared" si="6"/>
        <v>0</v>
      </c>
      <c r="O15" s="161">
        <f t="shared" si="6"/>
        <v>0</v>
      </c>
      <c r="P15" s="175">
        <f t="shared" ref="P15:U15" si="7">SUM(P11:P14)</f>
        <v>0</v>
      </c>
      <c r="Q15" s="156">
        <f t="shared" si="7"/>
        <v>0</v>
      </c>
      <c r="R15" s="173">
        <f t="shared" si="7"/>
        <v>0</v>
      </c>
      <c r="S15" s="194">
        <f t="shared" si="7"/>
        <v>0</v>
      </c>
      <c r="T15" s="173">
        <f t="shared" si="7"/>
        <v>0</v>
      </c>
      <c r="U15" s="156">
        <f t="shared" si="7"/>
        <v>0</v>
      </c>
      <c r="V15" s="161">
        <f>IF(SUM(V11:V14)&gt;0,AVERAGEIF(V11:V14,"&lt;&gt;0"),0)</f>
        <v>0</v>
      </c>
      <c r="W15" s="156">
        <f>SUM(W11:W14)</f>
        <v>0</v>
      </c>
      <c r="X15" s="156">
        <f>SUM(X11:X14)</f>
        <v>0</v>
      </c>
      <c r="Y15" s="156">
        <f>SUM(Y11:Y14)</f>
        <v>0</v>
      </c>
      <c r="Z15" s="173">
        <f>SUM(Z11:Z14)</f>
        <v>0</v>
      </c>
      <c r="AA15" s="161">
        <f>IF(SUM(AA11:AA14),AVERAGEIF(AA11:AA14,"&lt;&gt;0"),0)</f>
        <v>0</v>
      </c>
      <c r="AB15" s="194">
        <f>SUM(AB11:AB14)</f>
        <v>0</v>
      </c>
      <c r="AC15" s="156">
        <f>SUM(AC11:AC14)</f>
        <v>0</v>
      </c>
      <c r="AD15" s="156">
        <f>SUM(AD11:AD14)</f>
        <v>0</v>
      </c>
      <c r="AE15" s="161">
        <f>SUM(AE11:AE14)</f>
        <v>0</v>
      </c>
    </row>
    <row r="16" spans="1:31" s="1" customFormat="1" ht="15" customHeight="1" x14ac:dyDescent="0.2">
      <c r="A16" s="30" t="s">
        <v>14</v>
      </c>
      <c r="B16" s="40">
        <v>0</v>
      </c>
      <c r="C16" s="41">
        <v>0</v>
      </c>
      <c r="D16" s="41">
        <v>0</v>
      </c>
      <c r="E16" s="47">
        <f>SUM(B16:D16)</f>
        <v>0</v>
      </c>
      <c r="F16" s="41">
        <v>0</v>
      </c>
      <c r="G16" s="41">
        <v>0</v>
      </c>
      <c r="H16" s="41">
        <v>0</v>
      </c>
      <c r="I16" s="41">
        <v>0</v>
      </c>
      <c r="J16" s="147">
        <v>0</v>
      </c>
      <c r="K16" s="41">
        <v>0</v>
      </c>
      <c r="L16" s="41">
        <v>0</v>
      </c>
      <c r="M16" s="207">
        <f t="shared" ref="M16:M49" si="8">SUM(F16:L16)</f>
        <v>0</v>
      </c>
      <c r="N16" s="146">
        <v>0</v>
      </c>
      <c r="O16" s="149">
        <v>0</v>
      </c>
      <c r="P16" s="202">
        <v>0</v>
      </c>
      <c r="Q16" s="147">
        <v>0</v>
      </c>
      <c r="R16" s="202">
        <v>0</v>
      </c>
      <c r="S16" s="137">
        <v>0</v>
      </c>
      <c r="T16" s="183">
        <v>0</v>
      </c>
      <c r="U16" s="138">
        <v>0</v>
      </c>
      <c r="V16" s="192">
        <f t="shared" si="2"/>
        <v>0</v>
      </c>
      <c r="W16" s="147">
        <v>0</v>
      </c>
      <c r="X16" s="147">
        <v>0</v>
      </c>
      <c r="Y16" s="147">
        <v>0</v>
      </c>
      <c r="Z16" s="184">
        <v>0</v>
      </c>
      <c r="AA16" s="192" t="str">
        <f t="shared" si="3"/>
        <v>-</v>
      </c>
      <c r="AB16" s="146">
        <v>0</v>
      </c>
      <c r="AC16" s="147">
        <v>0</v>
      </c>
      <c r="AD16" s="147">
        <v>0</v>
      </c>
      <c r="AE16" s="123">
        <f t="shared" si="4"/>
        <v>0</v>
      </c>
    </row>
    <row r="17" spans="1:31" s="1" customFormat="1" ht="15" customHeight="1" x14ac:dyDescent="0.2">
      <c r="A17" s="30" t="s">
        <v>15</v>
      </c>
      <c r="B17" s="40">
        <v>0</v>
      </c>
      <c r="C17" s="41">
        <v>0</v>
      </c>
      <c r="D17" s="41">
        <v>0</v>
      </c>
      <c r="E17" s="47">
        <f>SUM(B17:D17)</f>
        <v>0</v>
      </c>
      <c r="F17" s="41">
        <v>0</v>
      </c>
      <c r="G17" s="41">
        <v>0</v>
      </c>
      <c r="H17" s="41">
        <v>0</v>
      </c>
      <c r="I17" s="41">
        <v>0</v>
      </c>
      <c r="J17" s="147">
        <v>0</v>
      </c>
      <c r="K17" s="41">
        <v>0</v>
      </c>
      <c r="L17" s="41">
        <v>0</v>
      </c>
      <c r="M17" s="207">
        <f t="shared" si="8"/>
        <v>0</v>
      </c>
      <c r="N17" s="146">
        <v>0</v>
      </c>
      <c r="O17" s="149">
        <v>0</v>
      </c>
      <c r="P17" s="202">
        <v>0</v>
      </c>
      <c r="Q17" s="147">
        <v>0</v>
      </c>
      <c r="R17" s="184">
        <v>0</v>
      </c>
      <c r="S17" s="137">
        <v>0</v>
      </c>
      <c r="T17" s="183">
        <v>0</v>
      </c>
      <c r="U17" s="138">
        <v>0</v>
      </c>
      <c r="V17" s="192">
        <f t="shared" si="2"/>
        <v>0</v>
      </c>
      <c r="W17" s="147">
        <v>0</v>
      </c>
      <c r="X17" s="147">
        <v>0</v>
      </c>
      <c r="Y17" s="147">
        <v>0</v>
      </c>
      <c r="Z17" s="184">
        <v>0</v>
      </c>
      <c r="AA17" s="192" t="str">
        <f t="shared" si="3"/>
        <v>-</v>
      </c>
      <c r="AB17" s="146">
        <v>0</v>
      </c>
      <c r="AC17" s="147">
        <v>0</v>
      </c>
      <c r="AD17" s="147">
        <v>0</v>
      </c>
      <c r="AE17" s="123">
        <f t="shared" si="4"/>
        <v>0</v>
      </c>
    </row>
    <row r="18" spans="1:31" s="1" customFormat="1" ht="15" customHeight="1" x14ac:dyDescent="0.2">
      <c r="A18" s="30" t="s">
        <v>16</v>
      </c>
      <c r="B18" s="40">
        <v>0</v>
      </c>
      <c r="C18" s="41">
        <v>0</v>
      </c>
      <c r="D18" s="41">
        <v>0</v>
      </c>
      <c r="E18" s="47">
        <f>SUM(B18:D18)</f>
        <v>0</v>
      </c>
      <c r="F18" s="41">
        <v>0</v>
      </c>
      <c r="G18" s="41">
        <v>0</v>
      </c>
      <c r="H18" s="41">
        <v>0</v>
      </c>
      <c r="I18" s="41">
        <v>0</v>
      </c>
      <c r="J18" s="147">
        <v>0</v>
      </c>
      <c r="K18" s="41">
        <v>0</v>
      </c>
      <c r="L18" s="41">
        <v>0</v>
      </c>
      <c r="M18" s="207">
        <f t="shared" si="8"/>
        <v>0</v>
      </c>
      <c r="N18" s="213">
        <v>0</v>
      </c>
      <c r="O18" s="149">
        <v>0</v>
      </c>
      <c r="P18" s="202">
        <v>0</v>
      </c>
      <c r="Q18" s="147">
        <v>0</v>
      </c>
      <c r="R18" s="184">
        <v>0</v>
      </c>
      <c r="S18" s="137">
        <v>0</v>
      </c>
      <c r="T18" s="183">
        <v>0</v>
      </c>
      <c r="U18" s="138">
        <v>0</v>
      </c>
      <c r="V18" s="192">
        <f t="shared" si="2"/>
        <v>0</v>
      </c>
      <c r="W18" s="147">
        <v>0</v>
      </c>
      <c r="X18" s="147">
        <v>0</v>
      </c>
      <c r="Y18" s="147">
        <v>0</v>
      </c>
      <c r="Z18" s="184">
        <v>0</v>
      </c>
      <c r="AA18" s="192" t="str">
        <f t="shared" si="3"/>
        <v>-</v>
      </c>
      <c r="AB18" s="146">
        <v>0</v>
      </c>
      <c r="AC18" s="147">
        <v>0</v>
      </c>
      <c r="AD18" s="147">
        <v>0</v>
      </c>
      <c r="AE18" s="123">
        <f t="shared" si="4"/>
        <v>0</v>
      </c>
    </row>
    <row r="19" spans="1:31" s="1" customFormat="1" ht="15" customHeight="1" x14ac:dyDescent="0.2">
      <c r="A19" s="30" t="s">
        <v>17</v>
      </c>
      <c r="B19" s="40">
        <v>0</v>
      </c>
      <c r="C19" s="41">
        <v>0</v>
      </c>
      <c r="D19" s="41">
        <v>0</v>
      </c>
      <c r="E19" s="47">
        <f>SUM(B19:D19)</f>
        <v>0</v>
      </c>
      <c r="F19" s="41">
        <v>0</v>
      </c>
      <c r="G19" s="41">
        <v>0</v>
      </c>
      <c r="H19" s="41">
        <v>0</v>
      </c>
      <c r="I19" s="41">
        <v>0</v>
      </c>
      <c r="J19" s="147">
        <v>0</v>
      </c>
      <c r="K19" s="41">
        <v>0</v>
      </c>
      <c r="L19" s="41">
        <v>0</v>
      </c>
      <c r="M19" s="207">
        <f t="shared" si="8"/>
        <v>0</v>
      </c>
      <c r="N19" s="146">
        <v>0</v>
      </c>
      <c r="O19" s="149">
        <v>0</v>
      </c>
      <c r="P19" s="202">
        <v>0</v>
      </c>
      <c r="Q19" s="147">
        <v>0</v>
      </c>
      <c r="R19" s="184">
        <v>0</v>
      </c>
      <c r="S19" s="137">
        <v>0</v>
      </c>
      <c r="T19" s="183">
        <v>0</v>
      </c>
      <c r="U19" s="138">
        <v>0</v>
      </c>
      <c r="V19" s="192">
        <f t="shared" si="2"/>
        <v>0</v>
      </c>
      <c r="W19" s="147">
        <v>0</v>
      </c>
      <c r="X19" s="147">
        <v>0</v>
      </c>
      <c r="Y19" s="147">
        <v>0</v>
      </c>
      <c r="Z19" s="184">
        <v>0</v>
      </c>
      <c r="AA19" s="192" t="str">
        <f t="shared" si="3"/>
        <v>-</v>
      </c>
      <c r="AB19" s="146">
        <v>0</v>
      </c>
      <c r="AC19" s="147">
        <v>0</v>
      </c>
      <c r="AD19" s="147">
        <v>0</v>
      </c>
      <c r="AE19" s="123">
        <f t="shared" si="4"/>
        <v>0</v>
      </c>
    </row>
    <row r="20" spans="1:31" s="1" customFormat="1" ht="15" customHeight="1" x14ac:dyDescent="0.2">
      <c r="A20" s="30" t="s">
        <v>18</v>
      </c>
      <c r="B20" s="40">
        <v>0</v>
      </c>
      <c r="C20" s="41">
        <v>0</v>
      </c>
      <c r="D20" s="41">
        <v>0</v>
      </c>
      <c r="E20" s="47">
        <f>SUM(B20:D20)</f>
        <v>0</v>
      </c>
      <c r="F20" s="41">
        <v>0</v>
      </c>
      <c r="G20" s="41">
        <v>0</v>
      </c>
      <c r="H20" s="41">
        <v>0</v>
      </c>
      <c r="I20" s="41">
        <v>0</v>
      </c>
      <c r="J20" s="147">
        <v>0</v>
      </c>
      <c r="K20" s="41">
        <v>0</v>
      </c>
      <c r="L20" s="41">
        <v>0</v>
      </c>
      <c r="M20" s="207">
        <f t="shared" si="8"/>
        <v>0</v>
      </c>
      <c r="N20" s="146">
        <v>0</v>
      </c>
      <c r="O20" s="149">
        <v>0</v>
      </c>
      <c r="P20" s="202">
        <v>0</v>
      </c>
      <c r="Q20" s="147">
        <v>0</v>
      </c>
      <c r="R20" s="184">
        <v>0</v>
      </c>
      <c r="S20" s="137">
        <v>0</v>
      </c>
      <c r="T20" s="183">
        <v>0</v>
      </c>
      <c r="U20" s="138">
        <v>0</v>
      </c>
      <c r="V20" s="192">
        <f t="shared" si="2"/>
        <v>0</v>
      </c>
      <c r="W20" s="147">
        <v>0</v>
      </c>
      <c r="X20" s="147">
        <v>0</v>
      </c>
      <c r="Y20" s="147">
        <v>0</v>
      </c>
      <c r="Z20" s="184">
        <v>0</v>
      </c>
      <c r="AA20" s="192" t="str">
        <f t="shared" si="3"/>
        <v>-</v>
      </c>
      <c r="AB20" s="146">
        <v>0</v>
      </c>
      <c r="AC20" s="147">
        <v>0</v>
      </c>
      <c r="AD20" s="147">
        <v>0</v>
      </c>
      <c r="AE20" s="123">
        <f t="shared" si="4"/>
        <v>0</v>
      </c>
    </row>
    <row r="21" spans="1:31" s="1" customFormat="1" ht="15" customHeight="1" x14ac:dyDescent="0.2">
      <c r="A21" s="236"/>
      <c r="B21" s="50">
        <f>SUM(B16:B20)</f>
        <v>0</v>
      </c>
      <c r="C21" s="49">
        <f t="shared" ref="C21:O21" si="9">SUM(C16:C20)</f>
        <v>0</v>
      </c>
      <c r="D21" s="51">
        <f t="shared" si="9"/>
        <v>0</v>
      </c>
      <c r="E21" s="49">
        <f t="shared" si="9"/>
        <v>0</v>
      </c>
      <c r="F21" s="49">
        <f t="shared" si="9"/>
        <v>0</v>
      </c>
      <c r="G21" s="49">
        <f t="shared" si="9"/>
        <v>0</v>
      </c>
      <c r="H21" s="49">
        <f t="shared" si="9"/>
        <v>0</v>
      </c>
      <c r="I21" s="49">
        <f t="shared" si="9"/>
        <v>0</v>
      </c>
      <c r="J21" s="157">
        <f t="shared" si="9"/>
        <v>0</v>
      </c>
      <c r="K21" s="49">
        <f t="shared" si="9"/>
        <v>0</v>
      </c>
      <c r="L21" s="49">
        <f t="shared" si="9"/>
        <v>0</v>
      </c>
      <c r="M21" s="124">
        <f t="shared" si="9"/>
        <v>0</v>
      </c>
      <c r="N21" s="160">
        <f t="shared" si="9"/>
        <v>0</v>
      </c>
      <c r="O21" s="214">
        <f t="shared" si="9"/>
        <v>0</v>
      </c>
      <c r="P21" s="209">
        <f t="shared" ref="P21:U21" si="10">SUM(P16:P20)</f>
        <v>0</v>
      </c>
      <c r="Q21" s="157">
        <f t="shared" si="10"/>
        <v>0</v>
      </c>
      <c r="R21" s="159">
        <f t="shared" si="10"/>
        <v>0</v>
      </c>
      <c r="S21" s="160">
        <f t="shared" si="10"/>
        <v>0</v>
      </c>
      <c r="T21" s="159">
        <f t="shared" si="10"/>
        <v>0</v>
      </c>
      <c r="U21" s="157">
        <f t="shared" si="10"/>
        <v>0</v>
      </c>
      <c r="V21" s="161">
        <f>IF(SUM(V16:V20)&gt;0,AVERAGEIF(V16:V20,"&lt;&gt;0"),0)</f>
        <v>0</v>
      </c>
      <c r="W21" s="157">
        <f>SUM(W16:W20)</f>
        <v>0</v>
      </c>
      <c r="X21" s="157">
        <f>SUM(X16:X20)</f>
        <v>0</v>
      </c>
      <c r="Y21" s="157">
        <f>SUM(Y16:Y20)</f>
        <v>0</v>
      </c>
      <c r="Z21" s="159">
        <f>SUM(Z16:Z20)</f>
        <v>0</v>
      </c>
      <c r="AA21" s="161">
        <f>IF(SUM(AA16:AA20),AVERAGEIF(AA16:AA20,"&lt;&gt;0"),0)</f>
        <v>0</v>
      </c>
      <c r="AB21" s="160">
        <f>SUM(AB16:AB20)</f>
        <v>0</v>
      </c>
      <c r="AC21" s="157">
        <f>SUM(AC16:AC20)</f>
        <v>0</v>
      </c>
      <c r="AD21" s="157">
        <f>SUM(AD16:AD20)</f>
        <v>0</v>
      </c>
      <c r="AE21" s="162">
        <f>SUM(AE16:AE20)</f>
        <v>0</v>
      </c>
    </row>
    <row r="22" spans="1:31" s="1" customFormat="1" ht="15" customHeight="1" x14ac:dyDescent="0.2">
      <c r="A22" s="30" t="s">
        <v>19</v>
      </c>
      <c r="B22" s="35">
        <v>0</v>
      </c>
      <c r="C22" s="33">
        <v>0</v>
      </c>
      <c r="D22" s="33">
        <v>0</v>
      </c>
      <c r="E22" s="47">
        <f>SUM(B22:D22)</f>
        <v>0</v>
      </c>
      <c r="F22" s="33">
        <v>0</v>
      </c>
      <c r="G22" s="33">
        <v>0</v>
      </c>
      <c r="H22" s="41">
        <v>0</v>
      </c>
      <c r="I22" s="33">
        <v>0</v>
      </c>
      <c r="J22" s="139">
        <v>0</v>
      </c>
      <c r="K22" s="33">
        <v>0</v>
      </c>
      <c r="L22" s="33">
        <v>0</v>
      </c>
      <c r="M22" s="207">
        <f t="shared" si="8"/>
        <v>0</v>
      </c>
      <c r="N22" s="142">
        <v>0</v>
      </c>
      <c r="O22" s="143">
        <v>0</v>
      </c>
      <c r="P22" s="210">
        <v>0</v>
      </c>
      <c r="Q22" s="139">
        <v>0</v>
      </c>
      <c r="R22" s="185">
        <v>0</v>
      </c>
      <c r="S22" s="137">
        <v>0</v>
      </c>
      <c r="T22" s="183">
        <v>0</v>
      </c>
      <c r="U22" s="138">
        <v>0</v>
      </c>
      <c r="V22" s="192">
        <f t="shared" si="2"/>
        <v>0</v>
      </c>
      <c r="W22" s="139">
        <v>0</v>
      </c>
      <c r="X22" s="139">
        <v>0</v>
      </c>
      <c r="Y22" s="139">
        <v>0</v>
      </c>
      <c r="Z22" s="185">
        <v>0</v>
      </c>
      <c r="AA22" s="192" t="str">
        <f t="shared" si="3"/>
        <v>-</v>
      </c>
      <c r="AB22" s="142">
        <v>0</v>
      </c>
      <c r="AC22" s="139">
        <v>0</v>
      </c>
      <c r="AD22" s="139">
        <v>0</v>
      </c>
      <c r="AE22" s="123">
        <f t="shared" si="4"/>
        <v>0</v>
      </c>
    </row>
    <row r="23" spans="1:31" s="1" customFormat="1" ht="15" customHeight="1" x14ac:dyDescent="0.2">
      <c r="A23" s="30" t="s">
        <v>20</v>
      </c>
      <c r="B23" s="35">
        <v>0</v>
      </c>
      <c r="C23" s="33">
        <v>0</v>
      </c>
      <c r="D23" s="33">
        <v>0</v>
      </c>
      <c r="E23" s="47">
        <f>SUM(B23:D23)</f>
        <v>0</v>
      </c>
      <c r="F23" s="33">
        <v>0</v>
      </c>
      <c r="G23" s="33">
        <v>0</v>
      </c>
      <c r="H23" s="41">
        <v>0</v>
      </c>
      <c r="I23" s="33">
        <v>0</v>
      </c>
      <c r="J23" s="139">
        <v>0</v>
      </c>
      <c r="K23" s="33">
        <v>0</v>
      </c>
      <c r="L23" s="33">
        <v>0</v>
      </c>
      <c r="M23" s="207">
        <f t="shared" si="8"/>
        <v>0</v>
      </c>
      <c r="N23" s="142">
        <v>0</v>
      </c>
      <c r="O23" s="143">
        <v>0</v>
      </c>
      <c r="P23" s="210">
        <v>0</v>
      </c>
      <c r="Q23" s="139">
        <v>0</v>
      </c>
      <c r="R23" s="185">
        <v>0</v>
      </c>
      <c r="S23" s="137">
        <v>0</v>
      </c>
      <c r="T23" s="183">
        <v>0</v>
      </c>
      <c r="U23" s="138">
        <v>0</v>
      </c>
      <c r="V23" s="192">
        <f t="shared" si="2"/>
        <v>0</v>
      </c>
      <c r="W23" s="139">
        <v>0</v>
      </c>
      <c r="X23" s="139">
        <v>0</v>
      </c>
      <c r="Y23" s="139">
        <v>0</v>
      </c>
      <c r="Z23" s="185">
        <v>0</v>
      </c>
      <c r="AA23" s="192" t="str">
        <f t="shared" si="3"/>
        <v>-</v>
      </c>
      <c r="AB23" s="142">
        <v>0</v>
      </c>
      <c r="AC23" s="139">
        <v>0</v>
      </c>
      <c r="AD23" s="139">
        <v>0</v>
      </c>
      <c r="AE23" s="123">
        <f t="shared" si="4"/>
        <v>0</v>
      </c>
    </row>
    <row r="24" spans="1:31" s="1" customFormat="1" ht="15" customHeight="1" x14ac:dyDescent="0.2">
      <c r="A24" s="30" t="s">
        <v>21</v>
      </c>
      <c r="B24" s="35">
        <v>0</v>
      </c>
      <c r="C24" s="33">
        <v>0</v>
      </c>
      <c r="D24" s="33">
        <v>0</v>
      </c>
      <c r="E24" s="47">
        <f>SUM(B24:D24)</f>
        <v>0</v>
      </c>
      <c r="F24" s="33">
        <v>0</v>
      </c>
      <c r="G24" s="33">
        <v>0</v>
      </c>
      <c r="H24" s="41">
        <v>0</v>
      </c>
      <c r="I24" s="33">
        <v>0</v>
      </c>
      <c r="J24" s="139">
        <v>0</v>
      </c>
      <c r="K24" s="33">
        <v>0</v>
      </c>
      <c r="L24" s="33">
        <v>0</v>
      </c>
      <c r="M24" s="207">
        <f t="shared" si="8"/>
        <v>0</v>
      </c>
      <c r="N24" s="142">
        <v>0</v>
      </c>
      <c r="O24" s="143">
        <v>0</v>
      </c>
      <c r="P24" s="210">
        <v>0</v>
      </c>
      <c r="Q24" s="139">
        <v>0</v>
      </c>
      <c r="R24" s="185">
        <v>0</v>
      </c>
      <c r="S24" s="137">
        <v>0</v>
      </c>
      <c r="T24" s="183">
        <v>0</v>
      </c>
      <c r="U24" s="138">
        <v>0</v>
      </c>
      <c r="V24" s="192">
        <f t="shared" si="2"/>
        <v>0</v>
      </c>
      <c r="W24" s="139">
        <v>0</v>
      </c>
      <c r="X24" s="139">
        <v>0</v>
      </c>
      <c r="Y24" s="139">
        <v>0</v>
      </c>
      <c r="Z24" s="185">
        <v>0</v>
      </c>
      <c r="AA24" s="192" t="str">
        <f t="shared" si="3"/>
        <v>-</v>
      </c>
      <c r="AB24" s="142">
        <v>0</v>
      </c>
      <c r="AC24" s="139">
        <v>0</v>
      </c>
      <c r="AD24" s="139">
        <v>0</v>
      </c>
      <c r="AE24" s="123">
        <f t="shared" si="4"/>
        <v>0</v>
      </c>
    </row>
    <row r="25" spans="1:31" s="1" customFormat="1" ht="15" customHeight="1" x14ac:dyDescent="0.2">
      <c r="A25" s="30" t="s">
        <v>109</v>
      </c>
      <c r="B25" s="35">
        <v>0</v>
      </c>
      <c r="C25" s="33">
        <v>0</v>
      </c>
      <c r="D25" s="33">
        <v>0</v>
      </c>
      <c r="E25" s="47">
        <f>SUM(B25:D25)</f>
        <v>0</v>
      </c>
      <c r="F25" s="33">
        <v>0</v>
      </c>
      <c r="G25" s="33">
        <v>0</v>
      </c>
      <c r="H25" s="41">
        <v>0</v>
      </c>
      <c r="I25" s="33">
        <v>0</v>
      </c>
      <c r="J25" s="139">
        <v>0</v>
      </c>
      <c r="K25" s="33">
        <v>0</v>
      </c>
      <c r="L25" s="33">
        <v>0</v>
      </c>
      <c r="M25" s="207">
        <f t="shared" si="8"/>
        <v>0</v>
      </c>
      <c r="N25" s="142">
        <v>0</v>
      </c>
      <c r="O25" s="143">
        <v>0</v>
      </c>
      <c r="P25" s="210">
        <v>0</v>
      </c>
      <c r="Q25" s="139">
        <v>0</v>
      </c>
      <c r="R25" s="185">
        <v>0</v>
      </c>
      <c r="S25" s="137">
        <v>0</v>
      </c>
      <c r="T25" s="183">
        <v>0</v>
      </c>
      <c r="U25" s="138">
        <v>0</v>
      </c>
      <c r="V25" s="192">
        <f t="shared" si="2"/>
        <v>0</v>
      </c>
      <c r="W25" s="139">
        <v>0</v>
      </c>
      <c r="X25" s="139">
        <v>0</v>
      </c>
      <c r="Y25" s="139">
        <v>0</v>
      </c>
      <c r="Z25" s="185">
        <v>0</v>
      </c>
      <c r="AA25" s="192" t="str">
        <f t="shared" si="3"/>
        <v>-</v>
      </c>
      <c r="AB25" s="142">
        <v>0</v>
      </c>
      <c r="AC25" s="139">
        <v>0</v>
      </c>
      <c r="AD25" s="139">
        <v>0</v>
      </c>
      <c r="AE25" s="123">
        <f t="shared" si="4"/>
        <v>0</v>
      </c>
    </row>
    <row r="26" spans="1:31" s="1" customFormat="1" ht="15" customHeight="1" x14ac:dyDescent="0.2">
      <c r="A26" s="236"/>
      <c r="B26" s="52">
        <f>SUM(B22:B25)</f>
        <v>0</v>
      </c>
      <c r="C26" s="49">
        <f>SUM(C22:C25)</f>
        <v>0</v>
      </c>
      <c r="D26" s="49">
        <f>SUM(D22:D25)</f>
        <v>0</v>
      </c>
      <c r="E26" s="49">
        <f>SUM(E22:E25)</f>
        <v>0</v>
      </c>
      <c r="F26" s="49">
        <f t="shared" ref="F26:O26" si="11">SUM(F22:F25)</f>
        <v>0</v>
      </c>
      <c r="G26" s="49">
        <f t="shared" si="11"/>
        <v>0</v>
      </c>
      <c r="H26" s="49">
        <f t="shared" si="11"/>
        <v>0</v>
      </c>
      <c r="I26" s="49">
        <f t="shared" si="11"/>
        <v>0</v>
      </c>
      <c r="J26" s="157">
        <f t="shared" si="11"/>
        <v>0</v>
      </c>
      <c r="K26" s="49">
        <f t="shared" si="11"/>
        <v>0</v>
      </c>
      <c r="L26" s="49">
        <f t="shared" si="11"/>
        <v>0</v>
      </c>
      <c r="M26" s="124">
        <f t="shared" si="11"/>
        <v>0</v>
      </c>
      <c r="N26" s="160">
        <f t="shared" si="11"/>
        <v>0</v>
      </c>
      <c r="O26" s="162">
        <f t="shared" si="11"/>
        <v>0</v>
      </c>
      <c r="P26" s="209">
        <f t="shared" ref="P26:U26" si="12">SUM(P22:P25)</f>
        <v>0</v>
      </c>
      <c r="Q26" s="157">
        <f t="shared" si="12"/>
        <v>0</v>
      </c>
      <c r="R26" s="159">
        <f t="shared" si="12"/>
        <v>0</v>
      </c>
      <c r="S26" s="160">
        <f t="shared" si="12"/>
        <v>0</v>
      </c>
      <c r="T26" s="159">
        <f t="shared" si="12"/>
        <v>0</v>
      </c>
      <c r="U26" s="157">
        <f t="shared" si="12"/>
        <v>0</v>
      </c>
      <c r="V26" s="161">
        <f>IF(SUM(V22:V25)&gt;0,AVERAGEIF(V22:V25,"&lt;&gt;0"),0)</f>
        <v>0</v>
      </c>
      <c r="W26" s="157">
        <f>SUM(W22:W25)</f>
        <v>0</v>
      </c>
      <c r="X26" s="157">
        <f>SUM(X22:X25)</f>
        <v>0</v>
      </c>
      <c r="Y26" s="157">
        <f>SUM(Y22:Y25)</f>
        <v>0</v>
      </c>
      <c r="Z26" s="159">
        <f>SUM(Z22:Z25)</f>
        <v>0</v>
      </c>
      <c r="AA26" s="161">
        <f>IF(SUM(AA22:AA25),AVERAGEIF(AA22:AA25,"&lt;&gt;0"),0)</f>
        <v>0</v>
      </c>
      <c r="AB26" s="160">
        <f>SUM(AB22:AB25)</f>
        <v>0</v>
      </c>
      <c r="AC26" s="157">
        <f>SUM(AC22:AC25)</f>
        <v>0</v>
      </c>
      <c r="AD26" s="157">
        <f>SUM(AD22:AD25)</f>
        <v>0</v>
      </c>
      <c r="AE26" s="162">
        <f>SUM(AE22:AE25)</f>
        <v>0</v>
      </c>
    </row>
    <row r="27" spans="1:31" s="1" customFormat="1" ht="15" customHeight="1" x14ac:dyDescent="0.2">
      <c r="A27" s="30" t="s">
        <v>108</v>
      </c>
      <c r="B27" s="31">
        <v>0</v>
      </c>
      <c r="C27" s="32">
        <v>0</v>
      </c>
      <c r="D27" s="32">
        <v>0</v>
      </c>
      <c r="E27" s="47">
        <f t="shared" ref="E27:E35" si="13">SUM(B27:D27)</f>
        <v>0</v>
      </c>
      <c r="F27" s="33">
        <v>0</v>
      </c>
      <c r="G27" s="33">
        <v>0</v>
      </c>
      <c r="H27" s="41">
        <v>0</v>
      </c>
      <c r="I27" s="33">
        <v>0</v>
      </c>
      <c r="J27" s="139">
        <v>0</v>
      </c>
      <c r="K27" s="33">
        <v>0</v>
      </c>
      <c r="L27" s="33">
        <v>0</v>
      </c>
      <c r="M27" s="207">
        <f t="shared" si="8"/>
        <v>0</v>
      </c>
      <c r="N27" s="137">
        <v>0</v>
      </c>
      <c r="O27" s="140">
        <v>0</v>
      </c>
      <c r="P27" s="201">
        <v>0</v>
      </c>
      <c r="Q27" s="138">
        <v>0</v>
      </c>
      <c r="R27" s="183">
        <v>0</v>
      </c>
      <c r="S27" s="137">
        <v>0</v>
      </c>
      <c r="T27" s="183">
        <v>0</v>
      </c>
      <c r="U27" s="138">
        <v>0</v>
      </c>
      <c r="V27" s="192">
        <f t="shared" si="2"/>
        <v>0</v>
      </c>
      <c r="W27" s="138">
        <v>0</v>
      </c>
      <c r="X27" s="138">
        <v>0</v>
      </c>
      <c r="Y27" s="138">
        <v>0</v>
      </c>
      <c r="Z27" s="183">
        <v>0</v>
      </c>
      <c r="AA27" s="192" t="str">
        <f t="shared" si="3"/>
        <v>-</v>
      </c>
      <c r="AB27" s="142">
        <v>0</v>
      </c>
      <c r="AC27" s="139">
        <v>0</v>
      </c>
      <c r="AD27" s="139">
        <v>0</v>
      </c>
      <c r="AE27" s="123">
        <f t="shared" si="4"/>
        <v>0</v>
      </c>
    </row>
    <row r="28" spans="1:31" s="1" customFormat="1" ht="15" customHeight="1" x14ac:dyDescent="0.2">
      <c r="A28" s="30" t="s">
        <v>22</v>
      </c>
      <c r="B28" s="40">
        <v>0</v>
      </c>
      <c r="C28" s="41">
        <v>0</v>
      </c>
      <c r="D28" s="41">
        <v>0</v>
      </c>
      <c r="E28" s="47">
        <f t="shared" si="13"/>
        <v>0</v>
      </c>
      <c r="F28" s="41">
        <v>0</v>
      </c>
      <c r="G28" s="41">
        <v>0</v>
      </c>
      <c r="H28" s="41">
        <v>0</v>
      </c>
      <c r="I28" s="41">
        <v>0</v>
      </c>
      <c r="J28" s="147">
        <v>0</v>
      </c>
      <c r="K28" s="41">
        <v>0</v>
      </c>
      <c r="L28" s="41">
        <v>0</v>
      </c>
      <c r="M28" s="207">
        <f t="shared" si="8"/>
        <v>0</v>
      </c>
      <c r="N28" s="146">
        <v>0</v>
      </c>
      <c r="O28" s="149">
        <v>0</v>
      </c>
      <c r="P28" s="202">
        <v>0</v>
      </c>
      <c r="Q28" s="147">
        <v>0</v>
      </c>
      <c r="R28" s="184">
        <v>0</v>
      </c>
      <c r="S28" s="137">
        <v>0</v>
      </c>
      <c r="T28" s="183">
        <v>0</v>
      </c>
      <c r="U28" s="138">
        <v>0</v>
      </c>
      <c r="V28" s="192">
        <f t="shared" si="2"/>
        <v>0</v>
      </c>
      <c r="W28" s="147">
        <v>0</v>
      </c>
      <c r="X28" s="147">
        <v>0</v>
      </c>
      <c r="Y28" s="147">
        <v>0</v>
      </c>
      <c r="Z28" s="184">
        <v>0</v>
      </c>
      <c r="AA28" s="192" t="str">
        <f t="shared" si="3"/>
        <v>-</v>
      </c>
      <c r="AB28" s="146">
        <v>0</v>
      </c>
      <c r="AC28" s="147">
        <v>0</v>
      </c>
      <c r="AD28" s="147">
        <v>0</v>
      </c>
      <c r="AE28" s="123">
        <f t="shared" si="4"/>
        <v>0</v>
      </c>
    </row>
    <row r="29" spans="1:31" s="1" customFormat="1" ht="15" customHeight="1" x14ac:dyDescent="0.2">
      <c r="A29" s="30" t="s">
        <v>23</v>
      </c>
      <c r="B29" s="40">
        <v>0</v>
      </c>
      <c r="C29" s="41">
        <v>0</v>
      </c>
      <c r="D29" s="41">
        <v>0</v>
      </c>
      <c r="E29" s="47">
        <f t="shared" si="13"/>
        <v>0</v>
      </c>
      <c r="F29" s="41">
        <v>0</v>
      </c>
      <c r="G29" s="41">
        <v>0</v>
      </c>
      <c r="H29" s="41">
        <v>0</v>
      </c>
      <c r="I29" s="41">
        <v>0</v>
      </c>
      <c r="J29" s="147">
        <v>0</v>
      </c>
      <c r="K29" s="41">
        <v>0</v>
      </c>
      <c r="L29" s="41">
        <v>0</v>
      </c>
      <c r="M29" s="207">
        <f t="shared" si="8"/>
        <v>0</v>
      </c>
      <c r="N29" s="146">
        <v>0</v>
      </c>
      <c r="O29" s="149">
        <v>0</v>
      </c>
      <c r="P29" s="202">
        <v>0</v>
      </c>
      <c r="Q29" s="147">
        <v>0</v>
      </c>
      <c r="R29" s="184">
        <v>0</v>
      </c>
      <c r="S29" s="137">
        <v>0</v>
      </c>
      <c r="T29" s="183">
        <v>0</v>
      </c>
      <c r="U29" s="138">
        <v>0</v>
      </c>
      <c r="V29" s="192">
        <f t="shared" si="2"/>
        <v>0</v>
      </c>
      <c r="W29" s="147">
        <v>0</v>
      </c>
      <c r="X29" s="147">
        <v>0</v>
      </c>
      <c r="Y29" s="147">
        <v>0</v>
      </c>
      <c r="Z29" s="184">
        <v>0</v>
      </c>
      <c r="AA29" s="192" t="str">
        <f t="shared" si="3"/>
        <v>-</v>
      </c>
      <c r="AB29" s="146">
        <v>0</v>
      </c>
      <c r="AC29" s="147">
        <v>0</v>
      </c>
      <c r="AD29" s="147">
        <v>0</v>
      </c>
      <c r="AE29" s="123">
        <f t="shared" si="4"/>
        <v>0</v>
      </c>
    </row>
    <row r="30" spans="1:31" s="1" customFormat="1" ht="15" customHeight="1" x14ac:dyDescent="0.2">
      <c r="A30" s="30" t="s">
        <v>24</v>
      </c>
      <c r="B30" s="40">
        <v>0</v>
      </c>
      <c r="C30" s="41">
        <v>0</v>
      </c>
      <c r="D30" s="41">
        <v>0</v>
      </c>
      <c r="E30" s="47">
        <f t="shared" si="13"/>
        <v>0</v>
      </c>
      <c r="F30" s="42">
        <v>0</v>
      </c>
      <c r="G30" s="42">
        <v>0</v>
      </c>
      <c r="H30" s="41">
        <v>0</v>
      </c>
      <c r="I30" s="42">
        <v>0</v>
      </c>
      <c r="J30" s="150">
        <v>0</v>
      </c>
      <c r="K30" s="42">
        <v>0</v>
      </c>
      <c r="L30" s="42">
        <v>0</v>
      </c>
      <c r="M30" s="207">
        <f t="shared" si="8"/>
        <v>0</v>
      </c>
      <c r="N30" s="146">
        <v>0</v>
      </c>
      <c r="O30" s="149">
        <v>0</v>
      </c>
      <c r="P30" s="202">
        <v>0</v>
      </c>
      <c r="Q30" s="147">
        <v>0</v>
      </c>
      <c r="R30" s="184">
        <v>0</v>
      </c>
      <c r="S30" s="137">
        <v>0</v>
      </c>
      <c r="T30" s="183">
        <v>0</v>
      </c>
      <c r="U30" s="138">
        <v>0</v>
      </c>
      <c r="V30" s="192">
        <f t="shared" si="2"/>
        <v>0</v>
      </c>
      <c r="W30" s="147">
        <v>0</v>
      </c>
      <c r="X30" s="147">
        <v>0</v>
      </c>
      <c r="Y30" s="147">
        <v>0</v>
      </c>
      <c r="Z30" s="184">
        <v>0</v>
      </c>
      <c r="AA30" s="192" t="str">
        <f t="shared" si="3"/>
        <v>-</v>
      </c>
      <c r="AB30" s="125">
        <v>0</v>
      </c>
      <c r="AC30" s="150">
        <v>0</v>
      </c>
      <c r="AD30" s="150">
        <v>0</v>
      </c>
      <c r="AE30" s="123">
        <f t="shared" si="4"/>
        <v>0</v>
      </c>
    </row>
    <row r="31" spans="1:31" s="1" customFormat="1" ht="14.25" customHeight="1" x14ac:dyDescent="0.2">
      <c r="A31" s="30" t="s">
        <v>106</v>
      </c>
      <c r="B31" s="40">
        <v>0</v>
      </c>
      <c r="C31" s="41">
        <v>0</v>
      </c>
      <c r="D31" s="41">
        <v>0</v>
      </c>
      <c r="E31" s="47">
        <f t="shared" si="13"/>
        <v>0</v>
      </c>
      <c r="F31" s="41">
        <v>0</v>
      </c>
      <c r="G31" s="41">
        <v>0</v>
      </c>
      <c r="H31" s="41">
        <v>0</v>
      </c>
      <c r="I31" s="41">
        <v>0</v>
      </c>
      <c r="J31" s="147">
        <v>0</v>
      </c>
      <c r="K31" s="41">
        <v>0</v>
      </c>
      <c r="L31" s="41">
        <v>0</v>
      </c>
      <c r="M31" s="207">
        <f t="shared" si="8"/>
        <v>0</v>
      </c>
      <c r="N31" s="146">
        <v>0</v>
      </c>
      <c r="O31" s="149">
        <v>0</v>
      </c>
      <c r="P31" s="202">
        <v>0</v>
      </c>
      <c r="Q31" s="147">
        <v>0</v>
      </c>
      <c r="R31" s="184">
        <v>0</v>
      </c>
      <c r="S31" s="137">
        <v>0</v>
      </c>
      <c r="T31" s="183">
        <v>0</v>
      </c>
      <c r="U31" s="138">
        <v>0</v>
      </c>
      <c r="V31" s="192">
        <f t="shared" si="2"/>
        <v>0</v>
      </c>
      <c r="W31" s="147">
        <v>0</v>
      </c>
      <c r="X31" s="147">
        <v>0</v>
      </c>
      <c r="Y31" s="147">
        <v>0</v>
      </c>
      <c r="Z31" s="184">
        <v>0</v>
      </c>
      <c r="AA31" s="192" t="str">
        <f t="shared" si="3"/>
        <v>-</v>
      </c>
      <c r="AB31" s="146">
        <v>0</v>
      </c>
      <c r="AC31" s="147">
        <v>0</v>
      </c>
      <c r="AD31" s="147">
        <v>0</v>
      </c>
      <c r="AE31" s="123">
        <f t="shared" si="4"/>
        <v>0</v>
      </c>
    </row>
    <row r="32" spans="1:31" s="1" customFormat="1" ht="14.25" customHeight="1" x14ac:dyDescent="0.2">
      <c r="A32" s="30" t="s">
        <v>25</v>
      </c>
      <c r="B32" s="40">
        <v>0</v>
      </c>
      <c r="C32" s="41">
        <v>0</v>
      </c>
      <c r="D32" s="41">
        <v>0</v>
      </c>
      <c r="E32" s="47">
        <f t="shared" si="13"/>
        <v>0</v>
      </c>
      <c r="F32" s="41">
        <v>0</v>
      </c>
      <c r="G32" s="41">
        <v>0</v>
      </c>
      <c r="H32" s="41">
        <v>0</v>
      </c>
      <c r="I32" s="41">
        <v>0</v>
      </c>
      <c r="J32" s="147">
        <v>0</v>
      </c>
      <c r="K32" s="41">
        <v>0</v>
      </c>
      <c r="L32" s="41">
        <v>0</v>
      </c>
      <c r="M32" s="207">
        <f t="shared" si="8"/>
        <v>0</v>
      </c>
      <c r="N32" s="146">
        <v>0</v>
      </c>
      <c r="O32" s="149">
        <v>0</v>
      </c>
      <c r="P32" s="202">
        <v>0</v>
      </c>
      <c r="Q32" s="147">
        <v>0</v>
      </c>
      <c r="R32" s="184">
        <v>0</v>
      </c>
      <c r="S32" s="137">
        <v>0</v>
      </c>
      <c r="T32" s="183">
        <v>0</v>
      </c>
      <c r="U32" s="138">
        <v>0</v>
      </c>
      <c r="V32" s="192">
        <f t="shared" si="2"/>
        <v>0</v>
      </c>
      <c r="W32" s="147">
        <v>0</v>
      </c>
      <c r="X32" s="147">
        <v>0</v>
      </c>
      <c r="Y32" s="147">
        <v>0</v>
      </c>
      <c r="Z32" s="184">
        <v>0</v>
      </c>
      <c r="AA32" s="192" t="str">
        <f t="shared" si="3"/>
        <v>-</v>
      </c>
      <c r="AB32" s="146">
        <v>0</v>
      </c>
      <c r="AC32" s="147">
        <v>0</v>
      </c>
      <c r="AD32" s="147">
        <v>0</v>
      </c>
      <c r="AE32" s="123">
        <f t="shared" si="4"/>
        <v>0</v>
      </c>
    </row>
    <row r="33" spans="1:31" s="1" customFormat="1" ht="14.25" customHeight="1" x14ac:dyDescent="0.2">
      <c r="A33" s="30" t="s">
        <v>26</v>
      </c>
      <c r="B33" s="40">
        <v>0</v>
      </c>
      <c r="C33" s="41">
        <v>0</v>
      </c>
      <c r="D33" s="41">
        <v>0</v>
      </c>
      <c r="E33" s="47">
        <f t="shared" si="13"/>
        <v>0</v>
      </c>
      <c r="F33" s="41">
        <v>0</v>
      </c>
      <c r="G33" s="41">
        <v>0</v>
      </c>
      <c r="H33" s="41">
        <v>0</v>
      </c>
      <c r="I33" s="41">
        <v>0</v>
      </c>
      <c r="J33" s="147">
        <v>0</v>
      </c>
      <c r="K33" s="41">
        <v>0</v>
      </c>
      <c r="L33" s="41">
        <v>0</v>
      </c>
      <c r="M33" s="207">
        <f t="shared" si="8"/>
        <v>0</v>
      </c>
      <c r="N33" s="146">
        <v>0</v>
      </c>
      <c r="O33" s="149">
        <v>0</v>
      </c>
      <c r="P33" s="202">
        <v>0</v>
      </c>
      <c r="Q33" s="147">
        <v>0</v>
      </c>
      <c r="R33" s="184">
        <v>0</v>
      </c>
      <c r="S33" s="137">
        <v>0</v>
      </c>
      <c r="T33" s="183">
        <v>0</v>
      </c>
      <c r="U33" s="138">
        <v>0</v>
      </c>
      <c r="V33" s="192">
        <f t="shared" si="2"/>
        <v>0</v>
      </c>
      <c r="W33" s="147">
        <v>0</v>
      </c>
      <c r="X33" s="147">
        <v>0</v>
      </c>
      <c r="Y33" s="147">
        <v>0</v>
      </c>
      <c r="Z33" s="184">
        <v>0</v>
      </c>
      <c r="AA33" s="192" t="str">
        <f t="shared" si="3"/>
        <v>-</v>
      </c>
      <c r="AB33" s="146">
        <v>0</v>
      </c>
      <c r="AC33" s="147">
        <v>0</v>
      </c>
      <c r="AD33" s="147">
        <v>0</v>
      </c>
      <c r="AE33" s="123">
        <f t="shared" si="4"/>
        <v>0</v>
      </c>
    </row>
    <row r="34" spans="1:31" s="1" customFormat="1" ht="14.25" customHeight="1" x14ac:dyDescent="0.2">
      <c r="A34" s="30" t="s">
        <v>58</v>
      </c>
      <c r="B34" s="31">
        <v>0</v>
      </c>
      <c r="C34" s="32">
        <v>0</v>
      </c>
      <c r="D34" s="32">
        <v>0</v>
      </c>
      <c r="E34" s="47">
        <f t="shared" si="13"/>
        <v>0</v>
      </c>
      <c r="F34" s="32">
        <v>0</v>
      </c>
      <c r="G34" s="32">
        <v>0</v>
      </c>
      <c r="H34" s="41">
        <v>0</v>
      </c>
      <c r="I34" s="32">
        <v>0</v>
      </c>
      <c r="J34" s="138">
        <v>0</v>
      </c>
      <c r="K34" s="32">
        <v>0</v>
      </c>
      <c r="L34" s="32">
        <v>0</v>
      </c>
      <c r="M34" s="207">
        <f t="shared" si="8"/>
        <v>0</v>
      </c>
      <c r="N34" s="137">
        <v>0</v>
      </c>
      <c r="O34" s="140">
        <v>0</v>
      </c>
      <c r="P34" s="201">
        <v>0</v>
      </c>
      <c r="Q34" s="138">
        <v>0</v>
      </c>
      <c r="R34" s="183">
        <v>0</v>
      </c>
      <c r="S34" s="137">
        <v>0</v>
      </c>
      <c r="T34" s="183">
        <v>0</v>
      </c>
      <c r="U34" s="138">
        <v>0</v>
      </c>
      <c r="V34" s="192">
        <f t="shared" si="2"/>
        <v>0</v>
      </c>
      <c r="W34" s="138">
        <v>0</v>
      </c>
      <c r="X34" s="138">
        <v>0</v>
      </c>
      <c r="Y34" s="138">
        <v>0</v>
      </c>
      <c r="Z34" s="183">
        <v>0</v>
      </c>
      <c r="AA34" s="192" t="str">
        <f t="shared" si="3"/>
        <v>-</v>
      </c>
      <c r="AB34" s="137">
        <v>0</v>
      </c>
      <c r="AC34" s="138">
        <v>0</v>
      </c>
      <c r="AD34" s="138">
        <v>0</v>
      </c>
      <c r="AE34" s="123">
        <f t="shared" si="4"/>
        <v>0</v>
      </c>
    </row>
    <row r="35" spans="1:31" s="1" customFormat="1" ht="14.25" customHeight="1" x14ac:dyDescent="0.2">
      <c r="A35" s="30" t="s">
        <v>36</v>
      </c>
      <c r="B35" s="31">
        <v>0</v>
      </c>
      <c r="C35" s="32">
        <v>0</v>
      </c>
      <c r="D35" s="32">
        <v>0</v>
      </c>
      <c r="E35" s="47">
        <f t="shared" si="13"/>
        <v>0</v>
      </c>
      <c r="F35" s="33">
        <v>0</v>
      </c>
      <c r="G35" s="33">
        <v>0</v>
      </c>
      <c r="H35" s="41">
        <v>0</v>
      </c>
      <c r="I35" s="32">
        <v>0</v>
      </c>
      <c r="J35" s="138">
        <v>0</v>
      </c>
      <c r="K35" s="32">
        <v>0</v>
      </c>
      <c r="L35" s="32">
        <v>0</v>
      </c>
      <c r="M35" s="207">
        <f t="shared" si="8"/>
        <v>0</v>
      </c>
      <c r="N35" s="137">
        <v>0</v>
      </c>
      <c r="O35" s="140">
        <v>0</v>
      </c>
      <c r="P35" s="201">
        <v>0</v>
      </c>
      <c r="Q35" s="138">
        <v>0</v>
      </c>
      <c r="R35" s="183">
        <v>0</v>
      </c>
      <c r="S35" s="137">
        <v>0</v>
      </c>
      <c r="T35" s="183">
        <v>0</v>
      </c>
      <c r="U35" s="138">
        <v>0</v>
      </c>
      <c r="V35" s="192">
        <f t="shared" si="2"/>
        <v>0</v>
      </c>
      <c r="W35" s="138">
        <v>0</v>
      </c>
      <c r="X35" s="138">
        <v>0</v>
      </c>
      <c r="Y35" s="138">
        <v>0</v>
      </c>
      <c r="Z35" s="183">
        <v>0</v>
      </c>
      <c r="AA35" s="192" t="str">
        <f t="shared" si="3"/>
        <v>-</v>
      </c>
      <c r="AB35" s="137">
        <v>0</v>
      </c>
      <c r="AC35" s="138">
        <v>0</v>
      </c>
      <c r="AD35" s="138">
        <v>0</v>
      </c>
      <c r="AE35" s="123">
        <f t="shared" si="4"/>
        <v>0</v>
      </c>
    </row>
    <row r="36" spans="1:31" s="1" customFormat="1" ht="14.25" customHeight="1" x14ac:dyDescent="0.2">
      <c r="A36" s="236"/>
      <c r="B36" s="54">
        <f>SUM(B27:B35)</f>
        <v>0</v>
      </c>
      <c r="C36" s="47">
        <f>SUM(C27:C35)</f>
        <v>0</v>
      </c>
      <c r="D36" s="47">
        <f>SUM(D27:D35)</f>
        <v>0</v>
      </c>
      <c r="E36" s="47">
        <f>SUM(E27:E35)</f>
        <v>0</v>
      </c>
      <c r="F36" s="47">
        <f t="shared" ref="F36:O36" si="14">SUM(F27:F35)</f>
        <v>0</v>
      </c>
      <c r="G36" s="47">
        <f t="shared" si="14"/>
        <v>0</v>
      </c>
      <c r="H36" s="47">
        <f t="shared" si="14"/>
        <v>0</v>
      </c>
      <c r="I36" s="47">
        <f t="shared" si="14"/>
        <v>0</v>
      </c>
      <c r="J36" s="155">
        <f t="shared" ref="J36" si="15">SUM(J27:J35)</f>
        <v>0</v>
      </c>
      <c r="K36" s="47">
        <f t="shared" si="14"/>
        <v>0</v>
      </c>
      <c r="L36" s="47">
        <f t="shared" si="14"/>
        <v>0</v>
      </c>
      <c r="M36" s="126">
        <f t="shared" si="14"/>
        <v>0</v>
      </c>
      <c r="N36" s="166">
        <f t="shared" si="14"/>
        <v>0</v>
      </c>
      <c r="O36" s="167">
        <f t="shared" si="14"/>
        <v>0</v>
      </c>
      <c r="P36" s="211">
        <f t="shared" ref="P36:U36" si="16">SUM(P27:P35)</f>
        <v>0</v>
      </c>
      <c r="Q36" s="155">
        <f t="shared" si="16"/>
        <v>0</v>
      </c>
      <c r="R36" s="186">
        <f t="shared" si="16"/>
        <v>0</v>
      </c>
      <c r="S36" s="166">
        <f t="shared" si="16"/>
        <v>0</v>
      </c>
      <c r="T36" s="186">
        <f t="shared" si="16"/>
        <v>0</v>
      </c>
      <c r="U36" s="155">
        <f t="shared" si="16"/>
        <v>0</v>
      </c>
      <c r="V36" s="161">
        <f>IF(SUM(V27:V35)&gt;0,AVERAGEIF(V27:V35,"&lt;&gt;0"),0)</f>
        <v>0</v>
      </c>
      <c r="W36" s="155">
        <f>SUM(W27:W35)</f>
        <v>0</v>
      </c>
      <c r="X36" s="155">
        <f>SUM(X27:X35)</f>
        <v>0</v>
      </c>
      <c r="Y36" s="155">
        <f>SUM(Y27:Y35)</f>
        <v>0</v>
      </c>
      <c r="Z36" s="186">
        <f>SUM(Z27:Z35)</f>
        <v>0</v>
      </c>
      <c r="AA36" s="161">
        <f>IF(SUM(AA27:AA35),AVERAGEIF(AA27:AA35,"&lt;&gt;0"),0)</f>
        <v>0</v>
      </c>
      <c r="AB36" s="166">
        <f>SUM(AB27:AB35)</f>
        <v>0</v>
      </c>
      <c r="AC36" s="155">
        <f>SUM(AC27:AC35)</f>
        <v>0</v>
      </c>
      <c r="AD36" s="155">
        <f>SUM(AD27:AD35)</f>
        <v>0</v>
      </c>
      <c r="AE36" s="167">
        <f>SUM(AE27:AE35)</f>
        <v>0</v>
      </c>
    </row>
    <row r="37" spans="1:31" s="1" customFormat="1" ht="14.25" customHeight="1" x14ac:dyDescent="0.2">
      <c r="A37" s="30" t="s">
        <v>27</v>
      </c>
      <c r="B37" s="31">
        <v>0</v>
      </c>
      <c r="C37" s="32">
        <v>0</v>
      </c>
      <c r="D37" s="32">
        <v>0</v>
      </c>
      <c r="E37" s="47">
        <f t="shared" ref="E37:E49" si="17">SUM(B37:D37)</f>
        <v>0</v>
      </c>
      <c r="F37" s="33">
        <v>0</v>
      </c>
      <c r="G37" s="33">
        <v>0</v>
      </c>
      <c r="H37" s="42">
        <v>0</v>
      </c>
      <c r="I37" s="33">
        <v>0</v>
      </c>
      <c r="J37" s="139">
        <v>0</v>
      </c>
      <c r="K37" s="33">
        <v>0</v>
      </c>
      <c r="L37" s="33">
        <v>0</v>
      </c>
      <c r="M37" s="207">
        <f t="shared" si="8"/>
        <v>0</v>
      </c>
      <c r="N37" s="137">
        <v>0</v>
      </c>
      <c r="O37" s="140">
        <v>0</v>
      </c>
      <c r="P37" s="201">
        <v>0</v>
      </c>
      <c r="Q37" s="138">
        <v>0</v>
      </c>
      <c r="R37" s="183">
        <v>0</v>
      </c>
      <c r="S37" s="137">
        <v>0</v>
      </c>
      <c r="T37" s="183">
        <v>0</v>
      </c>
      <c r="U37" s="138">
        <v>0</v>
      </c>
      <c r="V37" s="192">
        <f t="shared" si="2"/>
        <v>0</v>
      </c>
      <c r="W37" s="138">
        <v>0</v>
      </c>
      <c r="X37" s="138">
        <v>0</v>
      </c>
      <c r="Y37" s="138">
        <v>0</v>
      </c>
      <c r="Z37" s="183">
        <v>0</v>
      </c>
      <c r="AA37" s="192" t="str">
        <f t="shared" si="3"/>
        <v>-</v>
      </c>
      <c r="AB37" s="142">
        <v>0</v>
      </c>
      <c r="AC37" s="139">
        <v>0</v>
      </c>
      <c r="AD37" s="139">
        <v>0</v>
      </c>
      <c r="AE37" s="123">
        <f t="shared" si="4"/>
        <v>0</v>
      </c>
    </row>
    <row r="38" spans="1:31" s="1" customFormat="1" ht="14.25" customHeight="1" x14ac:dyDescent="0.2">
      <c r="A38" s="30" t="s">
        <v>28</v>
      </c>
      <c r="B38" s="36">
        <v>0</v>
      </c>
      <c r="C38" s="37">
        <v>0</v>
      </c>
      <c r="D38" s="37">
        <v>0</v>
      </c>
      <c r="E38" s="47">
        <f t="shared" si="17"/>
        <v>0</v>
      </c>
      <c r="F38" s="33">
        <v>0</v>
      </c>
      <c r="G38" s="33">
        <v>0</v>
      </c>
      <c r="H38" s="42">
        <v>0</v>
      </c>
      <c r="I38" s="32">
        <v>0</v>
      </c>
      <c r="J38" s="138">
        <v>0</v>
      </c>
      <c r="K38" s="32">
        <v>0</v>
      </c>
      <c r="L38" s="32">
        <v>0</v>
      </c>
      <c r="M38" s="207">
        <f t="shared" si="8"/>
        <v>0</v>
      </c>
      <c r="N38" s="137">
        <v>0</v>
      </c>
      <c r="O38" s="140">
        <v>0</v>
      </c>
      <c r="P38" s="201">
        <v>0</v>
      </c>
      <c r="Q38" s="138">
        <v>0</v>
      </c>
      <c r="R38" s="183">
        <v>0</v>
      </c>
      <c r="S38" s="137">
        <v>0</v>
      </c>
      <c r="T38" s="183">
        <v>0</v>
      </c>
      <c r="U38" s="138">
        <v>0</v>
      </c>
      <c r="V38" s="192">
        <f t="shared" si="2"/>
        <v>0</v>
      </c>
      <c r="W38" s="138">
        <v>0</v>
      </c>
      <c r="X38" s="138">
        <v>0</v>
      </c>
      <c r="Y38" s="138">
        <v>0</v>
      </c>
      <c r="Z38" s="183">
        <v>0</v>
      </c>
      <c r="AA38" s="192" t="str">
        <f t="shared" si="3"/>
        <v>-</v>
      </c>
      <c r="AB38" s="137">
        <v>0</v>
      </c>
      <c r="AC38" s="138">
        <v>0</v>
      </c>
      <c r="AD38" s="138">
        <v>0</v>
      </c>
      <c r="AE38" s="123">
        <f t="shared" si="4"/>
        <v>0</v>
      </c>
    </row>
    <row r="39" spans="1:31" s="1" customFormat="1" ht="14.25" customHeight="1" x14ac:dyDescent="0.2">
      <c r="A39" s="30" t="s">
        <v>62</v>
      </c>
      <c r="B39" s="40">
        <v>0</v>
      </c>
      <c r="C39" s="41">
        <v>0</v>
      </c>
      <c r="D39" s="41">
        <v>0</v>
      </c>
      <c r="E39" s="47">
        <f t="shared" si="17"/>
        <v>0</v>
      </c>
      <c r="F39" s="42">
        <v>0</v>
      </c>
      <c r="G39" s="42">
        <v>0</v>
      </c>
      <c r="H39" s="42">
        <v>0</v>
      </c>
      <c r="I39" s="41">
        <v>0</v>
      </c>
      <c r="J39" s="147">
        <v>0</v>
      </c>
      <c r="K39" s="41">
        <v>0</v>
      </c>
      <c r="L39" s="41">
        <v>0</v>
      </c>
      <c r="M39" s="207">
        <f t="shared" si="8"/>
        <v>0</v>
      </c>
      <c r="N39" s="146">
        <v>0</v>
      </c>
      <c r="O39" s="149">
        <v>0</v>
      </c>
      <c r="P39" s="202">
        <v>0</v>
      </c>
      <c r="Q39" s="147">
        <v>0</v>
      </c>
      <c r="R39" s="184">
        <v>0</v>
      </c>
      <c r="S39" s="137">
        <v>0</v>
      </c>
      <c r="T39" s="183">
        <v>0</v>
      </c>
      <c r="U39" s="138">
        <v>0</v>
      </c>
      <c r="V39" s="192">
        <f t="shared" si="2"/>
        <v>0</v>
      </c>
      <c r="W39" s="147">
        <v>0</v>
      </c>
      <c r="X39" s="147">
        <v>0</v>
      </c>
      <c r="Y39" s="147">
        <v>0</v>
      </c>
      <c r="Z39" s="184">
        <v>0</v>
      </c>
      <c r="AA39" s="192" t="str">
        <f t="shared" si="3"/>
        <v>-</v>
      </c>
      <c r="AB39" s="146">
        <v>0</v>
      </c>
      <c r="AC39" s="147">
        <v>0</v>
      </c>
      <c r="AD39" s="147">
        <v>0</v>
      </c>
      <c r="AE39" s="123">
        <f t="shared" si="4"/>
        <v>0</v>
      </c>
    </row>
    <row r="40" spans="1:31" s="1" customFormat="1" ht="14.25" customHeight="1" x14ac:dyDescent="0.2">
      <c r="A40" s="30" t="s">
        <v>29</v>
      </c>
      <c r="B40" s="40">
        <v>0</v>
      </c>
      <c r="C40" s="41">
        <v>0</v>
      </c>
      <c r="D40" s="41">
        <v>0</v>
      </c>
      <c r="E40" s="47">
        <f t="shared" si="17"/>
        <v>0</v>
      </c>
      <c r="F40" s="42">
        <v>0</v>
      </c>
      <c r="G40" s="42">
        <v>0</v>
      </c>
      <c r="H40" s="42">
        <v>0</v>
      </c>
      <c r="I40" s="41">
        <v>0</v>
      </c>
      <c r="J40" s="147">
        <v>0</v>
      </c>
      <c r="K40" s="41">
        <v>0</v>
      </c>
      <c r="L40" s="41">
        <v>0</v>
      </c>
      <c r="M40" s="207">
        <f t="shared" si="8"/>
        <v>0</v>
      </c>
      <c r="N40" s="146">
        <v>0</v>
      </c>
      <c r="O40" s="149">
        <v>0</v>
      </c>
      <c r="P40" s="202">
        <v>0</v>
      </c>
      <c r="Q40" s="147">
        <v>0</v>
      </c>
      <c r="R40" s="184">
        <v>0</v>
      </c>
      <c r="S40" s="137">
        <v>0</v>
      </c>
      <c r="T40" s="183">
        <v>0</v>
      </c>
      <c r="U40" s="138">
        <v>0</v>
      </c>
      <c r="V40" s="192">
        <f t="shared" si="2"/>
        <v>0</v>
      </c>
      <c r="W40" s="147">
        <v>0</v>
      </c>
      <c r="X40" s="147">
        <v>0</v>
      </c>
      <c r="Y40" s="147">
        <v>0</v>
      </c>
      <c r="Z40" s="184">
        <v>0</v>
      </c>
      <c r="AA40" s="192" t="str">
        <f t="shared" si="3"/>
        <v>-</v>
      </c>
      <c r="AB40" s="146">
        <v>0</v>
      </c>
      <c r="AC40" s="147">
        <v>0</v>
      </c>
      <c r="AD40" s="147">
        <v>0</v>
      </c>
      <c r="AE40" s="123">
        <f t="shared" si="4"/>
        <v>0</v>
      </c>
    </row>
    <row r="41" spans="1:31" s="1" customFormat="1" ht="14.25" customHeight="1" x14ac:dyDescent="0.2">
      <c r="A41" s="30" t="s">
        <v>30</v>
      </c>
      <c r="B41" s="40">
        <v>0</v>
      </c>
      <c r="C41" s="41">
        <v>0</v>
      </c>
      <c r="D41" s="41">
        <v>0</v>
      </c>
      <c r="E41" s="47">
        <f t="shared" si="17"/>
        <v>0</v>
      </c>
      <c r="F41" s="42">
        <v>0</v>
      </c>
      <c r="G41" s="42">
        <v>0</v>
      </c>
      <c r="H41" s="42">
        <v>0</v>
      </c>
      <c r="I41" s="41">
        <v>0</v>
      </c>
      <c r="J41" s="147">
        <v>0</v>
      </c>
      <c r="K41" s="41">
        <v>0</v>
      </c>
      <c r="L41" s="41">
        <v>0</v>
      </c>
      <c r="M41" s="207">
        <f t="shared" si="8"/>
        <v>0</v>
      </c>
      <c r="N41" s="146">
        <v>0</v>
      </c>
      <c r="O41" s="149">
        <v>0</v>
      </c>
      <c r="P41" s="202">
        <v>0</v>
      </c>
      <c r="Q41" s="147">
        <v>0</v>
      </c>
      <c r="R41" s="184">
        <v>0</v>
      </c>
      <c r="S41" s="137">
        <v>0</v>
      </c>
      <c r="T41" s="183">
        <v>0</v>
      </c>
      <c r="U41" s="138">
        <v>0</v>
      </c>
      <c r="V41" s="192">
        <f t="shared" si="2"/>
        <v>0</v>
      </c>
      <c r="W41" s="147">
        <v>0</v>
      </c>
      <c r="X41" s="147">
        <v>0</v>
      </c>
      <c r="Y41" s="147">
        <v>0</v>
      </c>
      <c r="Z41" s="184">
        <v>0</v>
      </c>
      <c r="AA41" s="192" t="str">
        <f t="shared" si="3"/>
        <v>-</v>
      </c>
      <c r="AB41" s="146">
        <v>0</v>
      </c>
      <c r="AC41" s="147">
        <v>0</v>
      </c>
      <c r="AD41" s="147">
        <v>0</v>
      </c>
      <c r="AE41" s="123">
        <f t="shared" si="4"/>
        <v>0</v>
      </c>
    </row>
    <row r="42" spans="1:31" s="1" customFormat="1" ht="14.25" customHeight="1" x14ac:dyDescent="0.2">
      <c r="A42" s="30" t="s">
        <v>31</v>
      </c>
      <c r="B42" s="40">
        <v>0</v>
      </c>
      <c r="C42" s="41">
        <v>0</v>
      </c>
      <c r="D42" s="41">
        <v>0</v>
      </c>
      <c r="E42" s="47">
        <f t="shared" si="17"/>
        <v>0</v>
      </c>
      <c r="F42" s="42">
        <v>0</v>
      </c>
      <c r="G42" s="42">
        <v>0</v>
      </c>
      <c r="H42" s="42">
        <v>0</v>
      </c>
      <c r="I42" s="41">
        <v>0</v>
      </c>
      <c r="J42" s="147">
        <v>0</v>
      </c>
      <c r="K42" s="41">
        <v>0</v>
      </c>
      <c r="L42" s="41">
        <v>0</v>
      </c>
      <c r="M42" s="207">
        <f t="shared" si="8"/>
        <v>0</v>
      </c>
      <c r="N42" s="146">
        <v>0</v>
      </c>
      <c r="O42" s="149">
        <v>0</v>
      </c>
      <c r="P42" s="202">
        <v>0</v>
      </c>
      <c r="Q42" s="147">
        <v>0</v>
      </c>
      <c r="R42" s="184">
        <v>0</v>
      </c>
      <c r="S42" s="137">
        <v>0</v>
      </c>
      <c r="T42" s="183">
        <v>0</v>
      </c>
      <c r="U42" s="138">
        <v>0</v>
      </c>
      <c r="V42" s="192">
        <f t="shared" si="2"/>
        <v>0</v>
      </c>
      <c r="W42" s="147">
        <v>0</v>
      </c>
      <c r="X42" s="147">
        <v>0</v>
      </c>
      <c r="Y42" s="147">
        <v>0</v>
      </c>
      <c r="Z42" s="184">
        <v>0</v>
      </c>
      <c r="AA42" s="192" t="str">
        <f t="shared" si="3"/>
        <v>-</v>
      </c>
      <c r="AB42" s="146">
        <v>0</v>
      </c>
      <c r="AC42" s="147">
        <v>0</v>
      </c>
      <c r="AD42" s="147">
        <v>0</v>
      </c>
      <c r="AE42" s="123">
        <f t="shared" si="4"/>
        <v>0</v>
      </c>
    </row>
    <row r="43" spans="1:31" s="1" customFormat="1" ht="14.25" customHeight="1" x14ac:dyDescent="0.2">
      <c r="A43" s="30" t="s">
        <v>44</v>
      </c>
      <c r="B43" s="40">
        <v>0</v>
      </c>
      <c r="C43" s="41">
        <v>0</v>
      </c>
      <c r="D43" s="41">
        <v>0</v>
      </c>
      <c r="E43" s="47">
        <f t="shared" si="17"/>
        <v>0</v>
      </c>
      <c r="F43" s="42">
        <v>0</v>
      </c>
      <c r="G43" s="42">
        <v>0</v>
      </c>
      <c r="H43" s="42">
        <v>0</v>
      </c>
      <c r="I43" s="41">
        <v>0</v>
      </c>
      <c r="J43" s="147">
        <v>0</v>
      </c>
      <c r="K43" s="41">
        <v>0</v>
      </c>
      <c r="L43" s="41">
        <v>0</v>
      </c>
      <c r="M43" s="207">
        <f t="shared" si="8"/>
        <v>0</v>
      </c>
      <c r="N43" s="146">
        <v>0</v>
      </c>
      <c r="O43" s="149">
        <v>0</v>
      </c>
      <c r="P43" s="202">
        <v>0</v>
      </c>
      <c r="Q43" s="147">
        <v>0</v>
      </c>
      <c r="R43" s="184">
        <v>0</v>
      </c>
      <c r="S43" s="137">
        <v>0</v>
      </c>
      <c r="T43" s="183">
        <v>0</v>
      </c>
      <c r="U43" s="138">
        <v>0</v>
      </c>
      <c r="V43" s="192">
        <f t="shared" si="2"/>
        <v>0</v>
      </c>
      <c r="W43" s="147">
        <v>0</v>
      </c>
      <c r="X43" s="147">
        <v>0</v>
      </c>
      <c r="Y43" s="147">
        <v>0</v>
      </c>
      <c r="Z43" s="184">
        <v>0</v>
      </c>
      <c r="AA43" s="192" t="str">
        <f t="shared" si="3"/>
        <v>-</v>
      </c>
      <c r="AB43" s="146">
        <v>0</v>
      </c>
      <c r="AC43" s="147">
        <v>0</v>
      </c>
      <c r="AD43" s="147">
        <v>0</v>
      </c>
      <c r="AE43" s="123">
        <f t="shared" si="4"/>
        <v>0</v>
      </c>
    </row>
    <row r="44" spans="1:31" s="1" customFormat="1" ht="14.25" customHeight="1" x14ac:dyDescent="0.2">
      <c r="A44" s="30" t="s">
        <v>32</v>
      </c>
      <c r="B44" s="40">
        <v>0</v>
      </c>
      <c r="C44" s="41">
        <v>0</v>
      </c>
      <c r="D44" s="41">
        <v>0</v>
      </c>
      <c r="E44" s="47">
        <f t="shared" si="17"/>
        <v>0</v>
      </c>
      <c r="F44" s="42">
        <v>0</v>
      </c>
      <c r="G44" s="42">
        <v>0</v>
      </c>
      <c r="H44" s="42">
        <v>0</v>
      </c>
      <c r="I44" s="41">
        <v>0</v>
      </c>
      <c r="J44" s="147">
        <v>0</v>
      </c>
      <c r="K44" s="41">
        <v>0</v>
      </c>
      <c r="L44" s="41">
        <v>0</v>
      </c>
      <c r="M44" s="207">
        <f t="shared" si="8"/>
        <v>0</v>
      </c>
      <c r="N44" s="146">
        <v>0</v>
      </c>
      <c r="O44" s="149">
        <v>0</v>
      </c>
      <c r="P44" s="202">
        <v>0</v>
      </c>
      <c r="Q44" s="147">
        <v>0</v>
      </c>
      <c r="R44" s="184">
        <v>0</v>
      </c>
      <c r="S44" s="137">
        <v>0</v>
      </c>
      <c r="T44" s="183">
        <v>0</v>
      </c>
      <c r="U44" s="138">
        <v>0</v>
      </c>
      <c r="V44" s="192">
        <f t="shared" si="2"/>
        <v>0</v>
      </c>
      <c r="W44" s="147">
        <v>0</v>
      </c>
      <c r="X44" s="147">
        <v>0</v>
      </c>
      <c r="Y44" s="147">
        <v>0</v>
      </c>
      <c r="Z44" s="184">
        <v>0</v>
      </c>
      <c r="AA44" s="192" t="str">
        <f t="shared" si="3"/>
        <v>-</v>
      </c>
      <c r="AB44" s="146">
        <v>0</v>
      </c>
      <c r="AC44" s="147">
        <v>0</v>
      </c>
      <c r="AD44" s="147">
        <v>0</v>
      </c>
      <c r="AE44" s="123">
        <f t="shared" si="4"/>
        <v>0</v>
      </c>
    </row>
    <row r="45" spans="1:31" s="1" customFormat="1" ht="14.25" customHeight="1" x14ac:dyDescent="0.2">
      <c r="A45" s="30" t="s">
        <v>105</v>
      </c>
      <c r="B45" s="40">
        <v>0</v>
      </c>
      <c r="C45" s="41">
        <v>0</v>
      </c>
      <c r="D45" s="41">
        <v>0</v>
      </c>
      <c r="E45" s="47">
        <f t="shared" si="17"/>
        <v>0</v>
      </c>
      <c r="F45" s="42">
        <v>0</v>
      </c>
      <c r="G45" s="42">
        <v>0</v>
      </c>
      <c r="H45" s="42">
        <v>0</v>
      </c>
      <c r="I45" s="41">
        <v>0</v>
      </c>
      <c r="J45" s="147">
        <v>0</v>
      </c>
      <c r="K45" s="41">
        <v>0</v>
      </c>
      <c r="L45" s="41">
        <v>0</v>
      </c>
      <c r="M45" s="207">
        <f t="shared" si="8"/>
        <v>0</v>
      </c>
      <c r="N45" s="146">
        <v>0</v>
      </c>
      <c r="O45" s="149">
        <v>0</v>
      </c>
      <c r="P45" s="202">
        <v>0</v>
      </c>
      <c r="Q45" s="147">
        <v>0</v>
      </c>
      <c r="R45" s="184">
        <v>0</v>
      </c>
      <c r="S45" s="137">
        <v>0</v>
      </c>
      <c r="T45" s="183">
        <v>0</v>
      </c>
      <c r="U45" s="138">
        <v>0</v>
      </c>
      <c r="V45" s="192">
        <f t="shared" si="2"/>
        <v>0</v>
      </c>
      <c r="W45" s="147">
        <v>0</v>
      </c>
      <c r="X45" s="147">
        <v>0</v>
      </c>
      <c r="Y45" s="147">
        <v>0</v>
      </c>
      <c r="Z45" s="184">
        <v>0</v>
      </c>
      <c r="AA45" s="192" t="str">
        <f t="shared" si="3"/>
        <v>-</v>
      </c>
      <c r="AB45" s="146">
        <v>0</v>
      </c>
      <c r="AC45" s="147">
        <v>0</v>
      </c>
      <c r="AD45" s="147">
        <v>0</v>
      </c>
      <c r="AE45" s="123">
        <f t="shared" si="4"/>
        <v>0</v>
      </c>
    </row>
    <row r="46" spans="1:31" s="1" customFormat="1" ht="14.25" customHeight="1" x14ac:dyDescent="0.2">
      <c r="A46" s="30" t="s">
        <v>33</v>
      </c>
      <c r="B46" s="40">
        <v>0</v>
      </c>
      <c r="C46" s="41">
        <v>0</v>
      </c>
      <c r="D46" s="41">
        <v>0</v>
      </c>
      <c r="E46" s="47">
        <f t="shared" si="17"/>
        <v>0</v>
      </c>
      <c r="F46" s="42">
        <v>0</v>
      </c>
      <c r="G46" s="42">
        <v>0</v>
      </c>
      <c r="H46" s="42">
        <v>0</v>
      </c>
      <c r="I46" s="41">
        <v>0</v>
      </c>
      <c r="J46" s="147">
        <v>0</v>
      </c>
      <c r="K46" s="41">
        <v>0</v>
      </c>
      <c r="L46" s="41">
        <v>0</v>
      </c>
      <c r="M46" s="207">
        <f t="shared" si="8"/>
        <v>0</v>
      </c>
      <c r="N46" s="146">
        <v>0</v>
      </c>
      <c r="O46" s="149">
        <v>0</v>
      </c>
      <c r="P46" s="202">
        <v>0</v>
      </c>
      <c r="Q46" s="147">
        <v>0</v>
      </c>
      <c r="R46" s="184">
        <v>0</v>
      </c>
      <c r="S46" s="137">
        <v>0</v>
      </c>
      <c r="T46" s="183">
        <v>0</v>
      </c>
      <c r="U46" s="138">
        <v>0</v>
      </c>
      <c r="V46" s="192">
        <f t="shared" si="2"/>
        <v>0</v>
      </c>
      <c r="W46" s="147">
        <v>0</v>
      </c>
      <c r="X46" s="147">
        <v>0</v>
      </c>
      <c r="Y46" s="147">
        <v>0</v>
      </c>
      <c r="Z46" s="184">
        <v>0</v>
      </c>
      <c r="AA46" s="192" t="str">
        <f t="shared" si="3"/>
        <v>-</v>
      </c>
      <c r="AB46" s="146">
        <v>0</v>
      </c>
      <c r="AC46" s="147">
        <v>0</v>
      </c>
      <c r="AD46" s="147">
        <v>0</v>
      </c>
      <c r="AE46" s="123">
        <f t="shared" si="4"/>
        <v>0</v>
      </c>
    </row>
    <row r="47" spans="1:31" s="1" customFormat="1" ht="14.25" customHeight="1" x14ac:dyDescent="0.2">
      <c r="A47" s="30" t="s">
        <v>34</v>
      </c>
      <c r="B47" s="40">
        <v>0</v>
      </c>
      <c r="C47" s="41">
        <v>0</v>
      </c>
      <c r="D47" s="41">
        <v>0</v>
      </c>
      <c r="E47" s="47">
        <f t="shared" si="17"/>
        <v>0</v>
      </c>
      <c r="F47" s="42">
        <v>0</v>
      </c>
      <c r="G47" s="42">
        <v>0</v>
      </c>
      <c r="H47" s="42">
        <v>0</v>
      </c>
      <c r="I47" s="41">
        <v>0</v>
      </c>
      <c r="J47" s="147">
        <v>0</v>
      </c>
      <c r="K47" s="41">
        <v>0</v>
      </c>
      <c r="L47" s="41">
        <v>0</v>
      </c>
      <c r="M47" s="207">
        <f t="shared" si="8"/>
        <v>0</v>
      </c>
      <c r="N47" s="146">
        <v>0</v>
      </c>
      <c r="O47" s="149">
        <v>0</v>
      </c>
      <c r="P47" s="202">
        <v>0</v>
      </c>
      <c r="Q47" s="147">
        <v>0</v>
      </c>
      <c r="R47" s="184">
        <v>0</v>
      </c>
      <c r="S47" s="137">
        <v>0</v>
      </c>
      <c r="T47" s="183">
        <v>0</v>
      </c>
      <c r="U47" s="138">
        <v>0</v>
      </c>
      <c r="V47" s="192">
        <f t="shared" si="2"/>
        <v>0</v>
      </c>
      <c r="W47" s="147">
        <v>0</v>
      </c>
      <c r="X47" s="147">
        <v>0</v>
      </c>
      <c r="Y47" s="147">
        <v>0</v>
      </c>
      <c r="Z47" s="184">
        <v>0</v>
      </c>
      <c r="AA47" s="192" t="str">
        <f t="shared" si="3"/>
        <v>-</v>
      </c>
      <c r="AB47" s="146">
        <v>0</v>
      </c>
      <c r="AC47" s="147">
        <v>0</v>
      </c>
      <c r="AD47" s="147">
        <v>0</v>
      </c>
      <c r="AE47" s="123">
        <f t="shared" si="4"/>
        <v>0</v>
      </c>
    </row>
    <row r="48" spans="1:31" s="1" customFormat="1" ht="14.25" customHeight="1" x14ac:dyDescent="0.2">
      <c r="A48" s="30" t="s">
        <v>35</v>
      </c>
      <c r="B48" s="40">
        <v>0</v>
      </c>
      <c r="C48" s="41">
        <v>0</v>
      </c>
      <c r="D48" s="41">
        <v>0</v>
      </c>
      <c r="E48" s="47">
        <f t="shared" si="17"/>
        <v>0</v>
      </c>
      <c r="F48" s="41">
        <v>0</v>
      </c>
      <c r="G48" s="41">
        <v>0</v>
      </c>
      <c r="H48" s="42">
        <v>0</v>
      </c>
      <c r="I48" s="41">
        <v>0</v>
      </c>
      <c r="J48" s="147">
        <v>0</v>
      </c>
      <c r="K48" s="41">
        <v>0</v>
      </c>
      <c r="L48" s="41">
        <v>0</v>
      </c>
      <c r="M48" s="207">
        <f t="shared" si="8"/>
        <v>0</v>
      </c>
      <c r="N48" s="146">
        <v>0</v>
      </c>
      <c r="O48" s="149">
        <v>0</v>
      </c>
      <c r="P48" s="202">
        <v>0</v>
      </c>
      <c r="Q48" s="147">
        <v>0</v>
      </c>
      <c r="R48" s="184">
        <v>0</v>
      </c>
      <c r="S48" s="137">
        <v>0</v>
      </c>
      <c r="T48" s="183">
        <v>0</v>
      </c>
      <c r="U48" s="138">
        <v>0</v>
      </c>
      <c r="V48" s="192">
        <f t="shared" si="2"/>
        <v>0</v>
      </c>
      <c r="W48" s="147">
        <v>0</v>
      </c>
      <c r="X48" s="147">
        <v>0</v>
      </c>
      <c r="Y48" s="147">
        <v>0</v>
      </c>
      <c r="Z48" s="184">
        <v>0</v>
      </c>
      <c r="AA48" s="192" t="str">
        <f t="shared" si="3"/>
        <v>-</v>
      </c>
      <c r="AB48" s="146">
        <v>0</v>
      </c>
      <c r="AC48" s="147">
        <v>0</v>
      </c>
      <c r="AD48" s="147">
        <v>0</v>
      </c>
      <c r="AE48" s="123">
        <f t="shared" si="4"/>
        <v>0</v>
      </c>
    </row>
    <row r="49" spans="1:31" s="1" customFormat="1" ht="14.25" customHeight="1" thickBot="1" x14ac:dyDescent="0.25">
      <c r="A49" s="43" t="s">
        <v>112</v>
      </c>
      <c r="B49" s="40">
        <v>0</v>
      </c>
      <c r="C49" s="41">
        <v>0</v>
      </c>
      <c r="D49" s="41">
        <v>0</v>
      </c>
      <c r="E49" s="47">
        <f t="shared" si="17"/>
        <v>0</v>
      </c>
      <c r="F49" s="41">
        <v>0</v>
      </c>
      <c r="G49" s="41">
        <v>0</v>
      </c>
      <c r="H49" s="42">
        <v>0</v>
      </c>
      <c r="I49" s="41">
        <v>0</v>
      </c>
      <c r="J49" s="151">
        <v>0</v>
      </c>
      <c r="K49" s="41">
        <v>0</v>
      </c>
      <c r="L49" s="41">
        <v>0</v>
      </c>
      <c r="M49" s="207">
        <f t="shared" si="8"/>
        <v>0</v>
      </c>
      <c r="N49" s="215">
        <v>0</v>
      </c>
      <c r="O49" s="178">
        <v>0</v>
      </c>
      <c r="P49" s="212">
        <v>0</v>
      </c>
      <c r="Q49" s="177">
        <v>0</v>
      </c>
      <c r="R49" s="191">
        <v>0</v>
      </c>
      <c r="S49" s="195">
        <v>0</v>
      </c>
      <c r="T49" s="189">
        <v>0</v>
      </c>
      <c r="U49" s="203">
        <v>0</v>
      </c>
      <c r="V49" s="193">
        <f t="shared" si="2"/>
        <v>0</v>
      </c>
      <c r="W49" s="177">
        <v>0</v>
      </c>
      <c r="X49" s="177">
        <v>0</v>
      </c>
      <c r="Y49" s="177">
        <v>0</v>
      </c>
      <c r="Z49" s="191">
        <v>0</v>
      </c>
      <c r="AA49" s="193" t="str">
        <f t="shared" si="3"/>
        <v>-</v>
      </c>
      <c r="AB49" s="146">
        <v>0</v>
      </c>
      <c r="AC49" s="147">
        <v>0</v>
      </c>
      <c r="AD49" s="147">
        <v>0</v>
      </c>
      <c r="AE49" s="123">
        <f t="shared" si="4"/>
        <v>0</v>
      </c>
    </row>
    <row r="50" spans="1:31" s="1" customFormat="1" ht="14.25" customHeight="1" thickBot="1" x14ac:dyDescent="0.25">
      <c r="A50" s="235"/>
      <c r="B50" s="55">
        <f t="shared" ref="B50:O50" si="18">SUM(B37:B49)</f>
        <v>0</v>
      </c>
      <c r="C50" s="60">
        <f t="shared" si="18"/>
        <v>0</v>
      </c>
      <c r="D50" s="60">
        <f t="shared" si="18"/>
        <v>0</v>
      </c>
      <c r="E50" s="60">
        <f t="shared" si="18"/>
        <v>0</v>
      </c>
      <c r="F50" s="53">
        <f t="shared" si="18"/>
        <v>0</v>
      </c>
      <c r="G50" s="53">
        <f t="shared" si="18"/>
        <v>0</v>
      </c>
      <c r="H50" s="53">
        <f t="shared" si="18"/>
        <v>0</v>
      </c>
      <c r="I50" s="53">
        <f t="shared" si="18"/>
        <v>0</v>
      </c>
      <c r="J50" s="165">
        <f t="shared" si="18"/>
        <v>0</v>
      </c>
      <c r="K50" s="53">
        <f t="shared" si="18"/>
        <v>0</v>
      </c>
      <c r="L50" s="53">
        <f t="shared" si="18"/>
        <v>0</v>
      </c>
      <c r="M50" s="53">
        <f t="shared" si="18"/>
        <v>0</v>
      </c>
      <c r="N50" s="53">
        <f t="shared" si="18"/>
        <v>0</v>
      </c>
      <c r="O50" s="61">
        <f t="shared" si="18"/>
        <v>0</v>
      </c>
      <c r="P50" s="176">
        <f t="shared" ref="P50:U50" si="19">SUM(P37:P49)</f>
        <v>0</v>
      </c>
      <c r="Q50" s="176">
        <f t="shared" si="19"/>
        <v>0</v>
      </c>
      <c r="R50" s="187">
        <f t="shared" si="19"/>
        <v>0</v>
      </c>
      <c r="S50" s="198">
        <f t="shared" si="19"/>
        <v>0</v>
      </c>
      <c r="T50" s="196">
        <f t="shared" si="19"/>
        <v>0</v>
      </c>
      <c r="U50" s="204">
        <f t="shared" si="19"/>
        <v>0</v>
      </c>
      <c r="V50" s="206">
        <f>IF(SUM(V37:V49)&gt;0,AVERAGEIF(V37:V49,"&lt;&gt;0"),0)</f>
        <v>0</v>
      </c>
      <c r="W50" s="176">
        <f>SUM(W37:W49)</f>
        <v>0</v>
      </c>
      <c r="X50" s="176">
        <f>SUM(X37:X49)</f>
        <v>0</v>
      </c>
      <c r="Y50" s="176">
        <f>SUM(Y37:Y49)</f>
        <v>0</v>
      </c>
      <c r="Z50" s="187">
        <f>SUM(Z37:Z49)</f>
        <v>0</v>
      </c>
      <c r="AA50" s="161">
        <f>IF(SUM(AA37:AA49),AVERAGEIF(AA37:AA49,"&lt;&gt;0"),0)</f>
        <v>0</v>
      </c>
      <c r="AB50" s="168">
        <f>SUM(AB37:AB49)</f>
        <v>0</v>
      </c>
      <c r="AC50" s="165">
        <f>SUM(AC37:AC49)</f>
        <v>0</v>
      </c>
      <c r="AD50" s="165">
        <f>SUM(AD37:AD49)</f>
        <v>0</v>
      </c>
      <c r="AE50" s="127">
        <f>SUM(AE37:AE49)</f>
        <v>0</v>
      </c>
    </row>
    <row r="51" spans="1:31" s="1" customFormat="1" thickBot="1" x14ac:dyDescent="0.25">
      <c r="A51" s="77" t="s">
        <v>119</v>
      </c>
      <c r="B51" s="63">
        <f t="shared" ref="B51:U51" si="20">B10+B15+B21+B26+B36+B50</f>
        <v>0</v>
      </c>
      <c r="C51" s="64">
        <f t="shared" si="20"/>
        <v>0</v>
      </c>
      <c r="D51" s="64">
        <f t="shared" si="20"/>
        <v>0</v>
      </c>
      <c r="E51" s="64">
        <f t="shared" si="20"/>
        <v>0</v>
      </c>
      <c r="F51" s="64">
        <f t="shared" si="20"/>
        <v>0</v>
      </c>
      <c r="G51" s="64">
        <f t="shared" si="20"/>
        <v>0</v>
      </c>
      <c r="H51" s="64">
        <f t="shared" si="20"/>
        <v>0</v>
      </c>
      <c r="I51" s="64">
        <f t="shared" si="20"/>
        <v>0</v>
      </c>
      <c r="J51" s="182">
        <f t="shared" si="20"/>
        <v>0</v>
      </c>
      <c r="K51" s="64">
        <f t="shared" si="20"/>
        <v>0</v>
      </c>
      <c r="L51" s="64">
        <f t="shared" si="20"/>
        <v>0</v>
      </c>
      <c r="M51" s="64">
        <f t="shared" si="20"/>
        <v>0</v>
      </c>
      <c r="N51" s="64">
        <f t="shared" si="20"/>
        <v>0</v>
      </c>
      <c r="O51" s="64">
        <f t="shared" si="20"/>
        <v>0</v>
      </c>
      <c r="P51" s="180">
        <f t="shared" si="20"/>
        <v>0</v>
      </c>
      <c r="Q51" s="188">
        <f t="shared" si="20"/>
        <v>0</v>
      </c>
      <c r="R51" s="128">
        <f t="shared" si="20"/>
        <v>0</v>
      </c>
      <c r="S51" s="199">
        <f t="shared" si="20"/>
        <v>0</v>
      </c>
      <c r="T51" s="197">
        <f t="shared" si="20"/>
        <v>0</v>
      </c>
      <c r="U51" s="128">
        <f t="shared" si="20"/>
        <v>0</v>
      </c>
      <c r="V51" s="190">
        <f>IF(SUM(V6:V50)&gt;0,AVERAGEIF(V6:V50, "&lt;&gt;0"),0)</f>
        <v>0</v>
      </c>
      <c r="W51" s="179">
        <f>W10+W15+W21+W26+W36+W50</f>
        <v>0</v>
      </c>
      <c r="X51" s="188">
        <f>X10+X15+X21+X26+X36+X50</f>
        <v>0</v>
      </c>
      <c r="Y51" s="180">
        <f>Y10+Y15+Y21+Y26+Y36+Y50</f>
        <v>0</v>
      </c>
      <c r="Z51" s="180">
        <f>Z10+Z15+Z21+Z26+Z36+Z50</f>
        <v>0</v>
      </c>
      <c r="AA51" s="190">
        <f>IF(SUM(AA6:AA50)&gt;0,AVERAGEIF(AA6:AA50, "&lt;&gt;0"),0)</f>
        <v>0</v>
      </c>
      <c r="AB51" s="179">
        <f>AB10+AB15+AB21+AB26+AB36+AB50</f>
        <v>0</v>
      </c>
      <c r="AC51" s="180">
        <f>AC10+AC15+AC21+AC26+AC36+AC50</f>
        <v>0</v>
      </c>
      <c r="AD51" s="180">
        <f>AD10+AD15+AD21+AD26+AD36+AD50</f>
        <v>0</v>
      </c>
      <c r="AE51" s="190">
        <f>AE10+AE15+AE21+AE26+AE36+AE50</f>
        <v>0</v>
      </c>
    </row>
    <row r="55" spans="1:31" x14ac:dyDescent="0.25">
      <c r="C55" s="39"/>
    </row>
  </sheetData>
  <sheetProtection password="A367" sheet="1" objects="1" scenarios="1"/>
  <mergeCells count="8">
    <mergeCell ref="S4:V4"/>
    <mergeCell ref="W4:AA4"/>
    <mergeCell ref="AB4:AE4"/>
    <mergeCell ref="A1:A3"/>
    <mergeCell ref="B4:E4"/>
    <mergeCell ref="F4:M4"/>
    <mergeCell ref="N4:O4"/>
    <mergeCell ref="P4:R4"/>
  </mergeCells>
  <conditionalFormatting sqref="W9:Z9">
    <cfRule type="containsBlanks" dxfId="82" priority="38">
      <formula>LEN(TRIM(W9))=0</formula>
    </cfRule>
  </conditionalFormatting>
  <conditionalFormatting sqref="S11:S14 U11:U14">
    <cfRule type="containsBlanks" dxfId="81" priority="37">
      <formula>LEN(TRIM(S11))=0</formula>
    </cfRule>
  </conditionalFormatting>
  <conditionalFormatting sqref="S16:S20 U16:U20">
    <cfRule type="containsBlanks" dxfId="80" priority="36">
      <formula>LEN(TRIM(S16))=0</formula>
    </cfRule>
  </conditionalFormatting>
  <conditionalFormatting sqref="S22:S25 U22:U25">
    <cfRule type="containsBlanks" dxfId="79" priority="35">
      <formula>LEN(TRIM(S22))=0</formula>
    </cfRule>
  </conditionalFormatting>
  <conditionalFormatting sqref="S27:S35 U27:U35">
    <cfRule type="containsBlanks" dxfId="78" priority="34">
      <formula>LEN(TRIM(S27))=0</formula>
    </cfRule>
  </conditionalFormatting>
  <conditionalFormatting sqref="S37:S49 U37:U49">
    <cfRule type="containsBlanks" dxfId="77" priority="33">
      <formula>LEN(TRIM(S37))=0</formula>
    </cfRule>
  </conditionalFormatting>
  <conditionalFormatting sqref="G16:I20 G22:I34 G36:I49 I35 G12:I14 G6:I7 K6:O7 K12:O14 K22:O49 K16:O20">
    <cfRule type="containsBlanks" dxfId="76" priority="75">
      <formula>LEN(TRIM(G6))=0</formula>
    </cfRule>
  </conditionalFormatting>
  <conditionalFormatting sqref="G11:I11 K11:O11">
    <cfRule type="containsBlanks" dxfId="75" priority="74">
      <formula>LEN(TRIM(G11))=0</formula>
    </cfRule>
  </conditionalFormatting>
  <conditionalFormatting sqref="G8:I8 K8:O8">
    <cfRule type="containsBlanks" dxfId="74" priority="73">
      <formula>LEN(TRIM(G8))=0</formula>
    </cfRule>
  </conditionalFormatting>
  <conditionalFormatting sqref="G9:I9 K9:O9">
    <cfRule type="containsBlanks" dxfId="73" priority="72">
      <formula>LEN(TRIM(G9))=0</formula>
    </cfRule>
  </conditionalFormatting>
  <conditionalFormatting sqref="AA27:AA35">
    <cfRule type="containsBlanks" dxfId="72" priority="28">
      <formula>LEN(TRIM(AA27))=0</formula>
    </cfRule>
  </conditionalFormatting>
  <conditionalFormatting sqref="AA37:AA49">
    <cfRule type="containsBlanks" dxfId="71" priority="27">
      <formula>LEN(TRIM(AA37))=0</formula>
    </cfRule>
  </conditionalFormatting>
  <conditionalFormatting sqref="V11:V14">
    <cfRule type="containsBlanks" dxfId="70" priority="26">
      <formula>LEN(TRIM(V11))=0</formula>
    </cfRule>
  </conditionalFormatting>
  <conditionalFormatting sqref="V16:V20">
    <cfRule type="containsBlanks" dxfId="69" priority="25">
      <formula>LEN(TRIM(V16))=0</formula>
    </cfRule>
  </conditionalFormatting>
  <conditionalFormatting sqref="V22:V25">
    <cfRule type="containsBlanks" dxfId="68" priority="24">
      <formula>LEN(TRIM(V22))=0</formula>
    </cfRule>
  </conditionalFormatting>
  <conditionalFormatting sqref="V27:V35">
    <cfRule type="containsBlanks" dxfId="67" priority="23">
      <formula>LEN(TRIM(V27))=0</formula>
    </cfRule>
  </conditionalFormatting>
  <conditionalFormatting sqref="V37:V49">
    <cfRule type="containsBlanks" dxfId="66" priority="22">
      <formula>LEN(TRIM(V37))=0</formula>
    </cfRule>
  </conditionalFormatting>
  <conditionalFormatting sqref="P12:P14 P22:P49 P16:P20 P6:P7 R6:R7 R16:R20 R22:R49 R12:R14">
    <cfRule type="containsBlanks" dxfId="65" priority="21">
      <formula>LEN(TRIM(P6))=0</formula>
    </cfRule>
  </conditionalFormatting>
  <conditionalFormatting sqref="P11 R11">
    <cfRule type="containsBlanks" dxfId="64" priority="20">
      <formula>LEN(TRIM(P11))=0</formula>
    </cfRule>
  </conditionalFormatting>
  <conditionalFormatting sqref="P8 R8">
    <cfRule type="containsBlanks" dxfId="63" priority="19">
      <formula>LEN(TRIM(P8))=0</formula>
    </cfRule>
  </conditionalFormatting>
  <conditionalFormatting sqref="G35:H35">
    <cfRule type="containsBlanks" dxfId="62" priority="60">
      <formula>LEN(TRIM(G35))=0</formula>
    </cfRule>
  </conditionalFormatting>
  <conditionalFormatting sqref="P9 R9">
    <cfRule type="containsBlanks" dxfId="61" priority="18">
      <formula>LEN(TRIM(P9))=0</formula>
    </cfRule>
  </conditionalFormatting>
  <conditionalFormatting sqref="T22:T25">
    <cfRule type="containsBlanks" dxfId="60" priority="10">
      <formula>LEN(TRIM(T22))=0</formula>
    </cfRule>
  </conditionalFormatting>
  <conditionalFormatting sqref="Q11">
    <cfRule type="containsBlanks" dxfId="59" priority="16">
      <formula>LEN(TRIM(Q11))=0</formula>
    </cfRule>
  </conditionalFormatting>
  <conditionalFormatting sqref="Q8">
    <cfRule type="containsBlanks" dxfId="58" priority="15">
      <formula>LEN(TRIM(Q8))=0</formula>
    </cfRule>
  </conditionalFormatting>
  <conditionalFormatting sqref="Q9">
    <cfRule type="containsBlanks" dxfId="57" priority="14">
      <formula>LEN(TRIM(Q9))=0</formula>
    </cfRule>
  </conditionalFormatting>
  <conditionalFormatting sqref="T6:T9 T36 T26">
    <cfRule type="containsBlanks" dxfId="56" priority="13">
      <formula>LEN(TRIM(T6))=0</formula>
    </cfRule>
  </conditionalFormatting>
  <conditionalFormatting sqref="T11:T14">
    <cfRule type="containsBlanks" dxfId="55" priority="12">
      <formula>LEN(TRIM(T11))=0</formula>
    </cfRule>
  </conditionalFormatting>
  <conditionalFormatting sqref="T16:T20">
    <cfRule type="containsBlanks" dxfId="54" priority="11">
      <formula>LEN(TRIM(T16))=0</formula>
    </cfRule>
  </conditionalFormatting>
  <conditionalFormatting sqref="T27:T35">
    <cfRule type="containsBlanks" dxfId="53" priority="9">
      <formula>LEN(TRIM(T27))=0</formula>
    </cfRule>
  </conditionalFormatting>
  <conditionalFormatting sqref="T37:T49">
    <cfRule type="containsBlanks" dxfId="52" priority="8">
      <formula>LEN(TRIM(T37))=0</formula>
    </cfRule>
  </conditionalFormatting>
  <conditionalFormatting sqref="AE22:AE25">
    <cfRule type="containsBlanks" dxfId="51" priority="44">
      <formula>LEN(TRIM(AE22))=0</formula>
    </cfRule>
  </conditionalFormatting>
  <conditionalFormatting sqref="AB26:AE26 AB12:AD14 AB6:AE6 AB7:AD7 AE7:AE9 AB16:AD20 AB22:AD25 AB36:AE36 AB27:AD35 AB37:AD49">
    <cfRule type="containsBlanks" dxfId="50" priority="50">
      <formula>LEN(TRIM(AB6))=0</formula>
    </cfRule>
  </conditionalFormatting>
  <conditionalFormatting sqref="AB11:AD11">
    <cfRule type="containsBlanks" dxfId="49" priority="49">
      <formula>LEN(TRIM(AB11))=0</formula>
    </cfRule>
  </conditionalFormatting>
  <conditionalFormatting sqref="AB8:AD8">
    <cfRule type="containsBlanks" dxfId="48" priority="48">
      <formula>LEN(TRIM(AB8))=0</formula>
    </cfRule>
  </conditionalFormatting>
  <conditionalFormatting sqref="AB9:AD9">
    <cfRule type="containsBlanks" dxfId="47" priority="47">
      <formula>LEN(TRIM(AB9))=0</formula>
    </cfRule>
  </conditionalFormatting>
  <conditionalFormatting sqref="AE11:AE14">
    <cfRule type="containsBlanks" dxfId="46" priority="46">
      <formula>LEN(TRIM(AE11))=0</formula>
    </cfRule>
  </conditionalFormatting>
  <conditionalFormatting sqref="AE16:AE20">
    <cfRule type="containsBlanks" dxfId="45" priority="45">
      <formula>LEN(TRIM(AE16))=0</formula>
    </cfRule>
  </conditionalFormatting>
  <conditionalFormatting sqref="AE27:AE35">
    <cfRule type="containsBlanks" dxfId="44" priority="43">
      <formula>LEN(TRIM(AE27))=0</formula>
    </cfRule>
  </conditionalFormatting>
  <conditionalFormatting sqref="AE37:AE49">
    <cfRule type="containsBlanks" dxfId="43" priority="42">
      <formula>LEN(TRIM(AE37))=0</formula>
    </cfRule>
  </conditionalFormatting>
  <conditionalFormatting sqref="S26 S36 W6:Z7 W22:Z49 W16:Z20 W12:Z14 S6:S9 U6:V9 U36 U26">
    <cfRule type="containsBlanks" dxfId="42" priority="41">
      <formula>LEN(TRIM(S6))=0</formula>
    </cfRule>
  </conditionalFormatting>
  <conditionalFormatting sqref="W11:Z11">
    <cfRule type="containsBlanks" dxfId="41" priority="40">
      <formula>LEN(TRIM(W11))=0</formula>
    </cfRule>
  </conditionalFormatting>
  <conditionalFormatting sqref="W8:Z8">
    <cfRule type="containsBlanks" dxfId="40" priority="39">
      <formula>LEN(TRIM(W8))=0</formula>
    </cfRule>
  </conditionalFormatting>
  <conditionalFormatting sqref="AA6:AA9">
    <cfRule type="containsBlanks" dxfId="39" priority="32">
      <formula>LEN(TRIM(AA6))=0</formula>
    </cfRule>
  </conditionalFormatting>
  <conditionalFormatting sqref="AA11:AA14">
    <cfRule type="containsBlanks" dxfId="38" priority="31">
      <formula>LEN(TRIM(AA11))=0</formula>
    </cfRule>
  </conditionalFormatting>
  <conditionalFormatting sqref="AA16:AA20">
    <cfRule type="containsBlanks" dxfId="37" priority="30">
      <formula>LEN(TRIM(AA16))=0</formula>
    </cfRule>
  </conditionalFormatting>
  <conditionalFormatting sqref="AA22:AA25">
    <cfRule type="containsBlanks" dxfId="36" priority="29">
      <formula>LEN(TRIM(AA22))=0</formula>
    </cfRule>
  </conditionalFormatting>
  <conditionalFormatting sqref="Q6:Q7 Q16:Q20 Q22:Q49 Q12:Q14">
    <cfRule type="containsBlanks" dxfId="35" priority="17">
      <formula>LEN(TRIM(Q6))=0</formula>
    </cfRule>
  </conditionalFormatting>
  <conditionalFormatting sqref="J6:J9 J11:J14">
    <cfRule type="containsBlanks" dxfId="34" priority="6">
      <formula>LEN(TRIM(J6))=0</formula>
    </cfRule>
  </conditionalFormatting>
  <conditionalFormatting sqref="J26 J36">
    <cfRule type="containsBlanks" dxfId="33" priority="7">
      <formula>LEN(TRIM(J26))=0</formula>
    </cfRule>
  </conditionalFormatting>
  <conditionalFormatting sqref="J16:J20">
    <cfRule type="containsBlanks" dxfId="32" priority="5">
      <formula>LEN(TRIM(J16))=0</formula>
    </cfRule>
  </conditionalFormatting>
  <conditionalFormatting sqref="J22:J25">
    <cfRule type="containsBlanks" dxfId="31" priority="4">
      <formula>LEN(TRIM(J22))=0</formula>
    </cfRule>
  </conditionalFormatting>
  <conditionalFormatting sqref="J27:J28 J30:J35">
    <cfRule type="containsBlanks" dxfId="30" priority="3">
      <formula>LEN(TRIM(J27))=0</formula>
    </cfRule>
  </conditionalFormatting>
  <conditionalFormatting sqref="J37:J49">
    <cfRule type="containsBlanks" dxfId="29" priority="2">
      <formula>LEN(TRIM(J37))=0</formula>
    </cfRule>
  </conditionalFormatting>
  <conditionalFormatting sqref="J29">
    <cfRule type="containsBlanks" dxfId="28" priority="1">
      <formula>LEN(TRIM(J29))=0</formula>
    </cfRule>
  </conditionalFormatting>
  <dataValidations count="1">
    <dataValidation type="whole" allowBlank="1" showInputMessage="1" showErrorMessage="1" errorTitle="ERROR!" error="Sorry, the value you entered is invalid! It must be 0 or 1." prompt="Value must be 1 if COD is between 1st  to 3rd, else 0." sqref="S6:U9 S11:U14 S16:U20 S22:U25 S27:U35 S37:U49">
      <formula1>0</formula1>
      <formula2>1</formula2>
    </dataValidation>
  </dataValidations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5"/>
  <sheetViews>
    <sheetView workbookViewId="0">
      <pane xSplit="1" ySplit="5" topLeftCell="B6" activePane="bottomRight" state="frozen"/>
      <selection pane="topRight" activeCell="F1" sqref="F1"/>
      <selection pane="bottomLeft" activeCell="A6" sqref="A6"/>
      <selection pane="bottomRight" activeCell="F17" sqref="F17"/>
    </sheetView>
  </sheetViews>
  <sheetFormatPr defaultRowHeight="15" x14ac:dyDescent="0.25"/>
  <cols>
    <col min="1" max="1" width="23" style="129" customWidth="1"/>
    <col min="2" max="2" width="11.85546875" style="129" customWidth="1"/>
    <col min="3" max="3" width="11.7109375" style="129" customWidth="1"/>
    <col min="4" max="4" width="12.42578125" style="129" customWidth="1"/>
    <col min="5" max="5" width="13.140625" style="129" customWidth="1"/>
    <col min="6" max="6" width="14.7109375" style="129" customWidth="1"/>
    <col min="7" max="7" width="15" style="129" customWidth="1"/>
    <col min="8" max="8" width="15.140625" style="129" customWidth="1"/>
    <col min="9" max="10" width="15.85546875" style="129" customWidth="1"/>
    <col min="11" max="11" width="15.28515625" style="129" customWidth="1"/>
    <col min="12" max="12" width="18.140625" style="129" customWidth="1"/>
    <col min="13" max="13" width="17.140625" style="129" customWidth="1"/>
    <col min="14" max="14" width="17.42578125" style="129" customWidth="1"/>
    <col min="15" max="15" width="16.5703125" style="129" customWidth="1"/>
    <col min="16" max="21" width="16.7109375" style="129" customWidth="1"/>
    <col min="22" max="23" width="17.28515625" style="129" customWidth="1"/>
    <col min="24" max="24" width="16.7109375" style="129" customWidth="1"/>
    <col min="25" max="26" width="15.28515625" style="129" customWidth="1"/>
    <col min="27" max="27" width="15.85546875" style="129" customWidth="1"/>
    <col min="28" max="28" width="18.7109375" style="129" customWidth="1"/>
    <col min="29" max="29" width="20.140625" style="129" customWidth="1"/>
    <col min="30" max="30" width="18.140625" style="129" customWidth="1"/>
    <col min="31" max="31" width="17.140625" style="129" customWidth="1"/>
  </cols>
  <sheetData>
    <row r="1" spans="1:31" x14ac:dyDescent="0.25">
      <c r="A1" s="288"/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</row>
    <row r="2" spans="1:31" x14ac:dyDescent="0.25">
      <c r="A2" s="288"/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</row>
    <row r="3" spans="1:31" ht="15.75" thickBot="1" x14ac:dyDescent="0.3">
      <c r="A3" s="288"/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</row>
    <row r="4" spans="1:31" ht="18.75" thickBot="1" x14ac:dyDescent="0.3">
      <c r="A4" s="25"/>
      <c r="B4" s="289" t="s">
        <v>122</v>
      </c>
      <c r="C4" s="290"/>
      <c r="D4" s="290"/>
      <c r="E4" s="291"/>
      <c r="F4" s="286" t="s">
        <v>127</v>
      </c>
      <c r="G4" s="286"/>
      <c r="H4" s="286"/>
      <c r="I4" s="286"/>
      <c r="J4" s="286"/>
      <c r="K4" s="286"/>
      <c r="L4" s="286"/>
      <c r="M4" s="286"/>
      <c r="N4" s="285" t="s">
        <v>67</v>
      </c>
      <c r="O4" s="287"/>
      <c r="P4" s="286" t="s">
        <v>152</v>
      </c>
      <c r="Q4" s="286"/>
      <c r="R4" s="287"/>
      <c r="S4" s="285" t="s">
        <v>163</v>
      </c>
      <c r="T4" s="286"/>
      <c r="U4" s="286"/>
      <c r="V4" s="287"/>
      <c r="W4" s="285" t="s">
        <v>156</v>
      </c>
      <c r="X4" s="286"/>
      <c r="Y4" s="286"/>
      <c r="Z4" s="286"/>
      <c r="AA4" s="287"/>
      <c r="AB4" s="282" t="s">
        <v>181</v>
      </c>
      <c r="AC4" s="283"/>
      <c r="AD4" s="283"/>
      <c r="AE4" s="284"/>
    </row>
    <row r="5" spans="1:31" ht="16.5" x14ac:dyDescent="0.25">
      <c r="A5" s="28" t="s">
        <v>0</v>
      </c>
      <c r="B5" s="131" t="s">
        <v>7</v>
      </c>
      <c r="C5" s="132" t="s">
        <v>8</v>
      </c>
      <c r="D5" s="132" t="s">
        <v>9</v>
      </c>
      <c r="E5" s="29" t="s">
        <v>10</v>
      </c>
      <c r="F5" s="227" t="s">
        <v>187</v>
      </c>
      <c r="G5" s="132" t="s">
        <v>11</v>
      </c>
      <c r="H5" s="132" t="s">
        <v>125</v>
      </c>
      <c r="I5" s="132" t="s">
        <v>126</v>
      </c>
      <c r="J5" s="132" t="s">
        <v>188</v>
      </c>
      <c r="K5" s="132" t="s">
        <v>150</v>
      </c>
      <c r="L5" s="132" t="s">
        <v>12</v>
      </c>
      <c r="M5" s="28" t="s">
        <v>10</v>
      </c>
      <c r="N5" s="131" t="s">
        <v>13</v>
      </c>
      <c r="O5" s="29" t="s">
        <v>42</v>
      </c>
      <c r="P5" s="208" t="s">
        <v>153</v>
      </c>
      <c r="Q5" s="134" t="s">
        <v>155</v>
      </c>
      <c r="R5" s="135" t="s">
        <v>154</v>
      </c>
      <c r="S5" s="131" t="s">
        <v>159</v>
      </c>
      <c r="T5" s="200" t="s">
        <v>155</v>
      </c>
      <c r="U5" s="132" t="s">
        <v>154</v>
      </c>
      <c r="V5" s="136" t="s">
        <v>166</v>
      </c>
      <c r="W5" s="134" t="s">
        <v>161</v>
      </c>
      <c r="X5" s="134" t="s">
        <v>153</v>
      </c>
      <c r="Y5" s="134" t="s">
        <v>155</v>
      </c>
      <c r="Z5" s="135" t="s">
        <v>154</v>
      </c>
      <c r="AA5" s="136" t="s">
        <v>164</v>
      </c>
      <c r="AB5" s="131" t="s">
        <v>182</v>
      </c>
      <c r="AC5" s="132" t="s">
        <v>183</v>
      </c>
      <c r="AD5" s="132" t="s">
        <v>184</v>
      </c>
      <c r="AE5" s="29" t="s">
        <v>10</v>
      </c>
    </row>
    <row r="6" spans="1:31" ht="15" customHeight="1" x14ac:dyDescent="0.25">
      <c r="A6" s="30" t="s">
        <v>1</v>
      </c>
      <c r="B6" s="219">
        <f>ROUNDDOWN(SUM('WK1:WK5'!F6)/MAX(1,INDEX(FREQUENCY('WK1:WK5'!F6,0),2)),0)</f>
        <v>50717</v>
      </c>
      <c r="C6" s="217">
        <f>ROUNDDOWN(SUM('WK1:WK5'!G6)/MAX(1,INDEX(FREQUENCY('WK1:WK5'!G6,0),2)),0)</f>
        <v>18525</v>
      </c>
      <c r="D6" s="220">
        <f>ROUNDDOWN(SUM('WK1:WK5'!H6)/MAX(1,INDEX(FREQUENCY('WK1:WK5'!H6,0),2)),0)</f>
        <v>0</v>
      </c>
      <c r="E6" s="230">
        <f>SUM(B6:D6)</f>
        <v>69242</v>
      </c>
      <c r="F6" s="223">
        <f>SUM('WK1:WK5'!J6)</f>
        <v>0</v>
      </c>
      <c r="G6" s="216">
        <f>SUM('WK1:WK5'!K6)</f>
        <v>34420</v>
      </c>
      <c r="H6" s="216">
        <f>SUM('WK1:WK5'!L6)</f>
        <v>0</v>
      </c>
      <c r="I6" s="216">
        <f>SUM('WK1:WK5'!M6)</f>
        <v>324340</v>
      </c>
      <c r="J6" s="216">
        <f>SUM('WK1:WK5'!N6)</f>
        <v>4</v>
      </c>
      <c r="K6" s="216">
        <f>SUM('WK1:WK5'!O6)</f>
        <v>6</v>
      </c>
      <c r="L6" s="216">
        <f>SUM('WK1:WK5'!P6)</f>
        <v>0</v>
      </c>
      <c r="M6" s="207">
        <f>SUM(F6:L6)</f>
        <v>358770</v>
      </c>
      <c r="N6" s="222">
        <f>SUM('WK1:WK5'!R6)</f>
        <v>0</v>
      </c>
      <c r="O6" s="218">
        <f>SUM('WK1:WK5'!S6)</f>
        <v>0</v>
      </c>
      <c r="P6" s="223">
        <f>SUM('WK1:WK5'!T6)</f>
        <v>0</v>
      </c>
      <c r="Q6" s="216">
        <f>SUM('WK1:WK5'!U6)</f>
        <v>0</v>
      </c>
      <c r="R6" s="221">
        <f>SUM('WK1:WK5'!V6)</f>
        <v>0</v>
      </c>
      <c r="S6" s="222">
        <f>SUM('WK1:WK5'!W6)</f>
        <v>0</v>
      </c>
      <c r="T6" s="216">
        <f>SUM('WK1:WK5'!X6)</f>
        <v>0</v>
      </c>
      <c r="U6" s="216">
        <f>SUM('WK1:WK5'!Y6)</f>
        <v>0</v>
      </c>
      <c r="V6" s="192">
        <f>SUM(S6:U6)</f>
        <v>0</v>
      </c>
      <c r="W6" s="216">
        <f>SUM('WK1:WK5'!AA6)</f>
        <v>0</v>
      </c>
      <c r="X6" s="216">
        <f>SUM('WK1:WK5'!AB6)</f>
        <v>0</v>
      </c>
      <c r="Y6" s="216">
        <f>SUM('WK1:WK5'!AC6)</f>
        <v>0</v>
      </c>
      <c r="Z6" s="216">
        <f>SUM('WK1:WK5'!AD6)</f>
        <v>0</v>
      </c>
      <c r="AA6" s="192" t="str">
        <f>IF(SUM(W6:Z6)&gt;0,AVERAGEIF(W6:Z6,"&lt;&gt;0"),"-")</f>
        <v>-</v>
      </c>
      <c r="AB6" s="216">
        <f>SUM('WK1:WK5'!AF6)</f>
        <v>0</v>
      </c>
      <c r="AC6" s="216">
        <f>SUM('WK1:WK5'!AG6)</f>
        <v>0</v>
      </c>
      <c r="AD6" s="216">
        <f>SUM('WK1:WK5'!AH6)</f>
        <v>0</v>
      </c>
      <c r="AE6" s="123">
        <f>SUM(AB6:AD6)</f>
        <v>0</v>
      </c>
    </row>
    <row r="7" spans="1:31" x14ac:dyDescent="0.25">
      <c r="A7" s="30" t="s">
        <v>2</v>
      </c>
      <c r="B7" s="219">
        <f>ROUNDDOWN(SUM('WK1:WK5'!F7)/MAX(1,INDEX(FREQUENCY('WK1:WK5'!F7,0),2)),0)</f>
        <v>39345</v>
      </c>
      <c r="C7" s="217">
        <f>ROUNDDOWN(SUM('WK1:WK5'!G7)/MAX(1,INDEX(FREQUENCY('WK1:WK5'!G7,0),2)),0)</f>
        <v>10525</v>
      </c>
      <c r="D7" s="220">
        <f>ROUNDDOWN(SUM('WK1:WK5'!H7)/MAX(1,INDEX(FREQUENCY('WK1:WK5'!H7,0),2)),0)</f>
        <v>0</v>
      </c>
      <c r="E7" s="230">
        <f t="shared" ref="E7:E9" si="0">SUM(B7:D7)</f>
        <v>49870</v>
      </c>
      <c r="F7" s="223">
        <f>SUM('WK1:WK5'!J7)</f>
        <v>0</v>
      </c>
      <c r="G7" s="216">
        <f>SUM('WK1:WK5'!K7)</f>
        <v>11800</v>
      </c>
      <c r="H7" s="216">
        <f>SUM('WK1:WK5'!L7)</f>
        <v>45240</v>
      </c>
      <c r="I7" s="216">
        <f>SUM('WK1:WK5'!M7)</f>
        <v>266420</v>
      </c>
      <c r="J7" s="216">
        <f>SUM('WK1:WK5'!N7)</f>
        <v>7</v>
      </c>
      <c r="K7" s="216">
        <f>SUM('WK1:WK5'!O7)</f>
        <v>9</v>
      </c>
      <c r="L7" s="216">
        <f>SUM('WK1:WK5'!P7)</f>
        <v>0</v>
      </c>
      <c r="M7" s="207">
        <f t="shared" ref="M7:M9" si="1">SUM(F7:L7)</f>
        <v>323476</v>
      </c>
      <c r="N7" s="222">
        <f>SUM('WK1:WK5'!R7)</f>
        <v>0</v>
      </c>
      <c r="O7" s="218">
        <f>SUM('WK1:WK5'!S7)</f>
        <v>0</v>
      </c>
      <c r="P7" s="223">
        <f>SUM('WK1:WK5'!T7)</f>
        <v>0</v>
      </c>
      <c r="Q7" s="216">
        <f>SUM('WK1:WK5'!U7)</f>
        <v>0</v>
      </c>
      <c r="R7" s="221">
        <f>SUM('WK1:WK5'!V7)</f>
        <v>0</v>
      </c>
      <c r="S7" s="222">
        <f>SUM('WK1:WK5'!W7)</f>
        <v>0</v>
      </c>
      <c r="T7" s="216">
        <f>SUM('WK1:WK5'!X7)</f>
        <v>0</v>
      </c>
      <c r="U7" s="216">
        <f>SUM('WK1:WK5'!Y7)</f>
        <v>0</v>
      </c>
      <c r="V7" s="192">
        <f t="shared" ref="V7:V9" si="2">SUM(S7:U7)</f>
        <v>0</v>
      </c>
      <c r="W7" s="216">
        <f>SUM('WK1:WK5'!AA7)</f>
        <v>0</v>
      </c>
      <c r="X7" s="216">
        <f>SUM('WK1:WK5'!AB7)</f>
        <v>0</v>
      </c>
      <c r="Y7" s="216">
        <f>SUM('WK1:WK5'!AC7)</f>
        <v>0</v>
      </c>
      <c r="Z7" s="216">
        <f>SUM('WK1:WK5'!AD7)</f>
        <v>0</v>
      </c>
      <c r="AA7" s="192" t="str">
        <f t="shared" ref="AA7:AA9" si="3">IF(SUM(W7:Z7)&gt;0,AVERAGEIF(W7:Z7,"&lt;&gt;0"),"-")</f>
        <v>-</v>
      </c>
      <c r="AB7" s="216">
        <f>SUM('WK1:WK5'!AF7)</f>
        <v>0</v>
      </c>
      <c r="AC7" s="216">
        <f>SUM('WK1:WK5'!AG7)</f>
        <v>0</v>
      </c>
      <c r="AD7" s="216">
        <f>SUM('WK1:WK5'!AH7)</f>
        <v>0</v>
      </c>
      <c r="AE7" s="123">
        <f t="shared" ref="AE7:AE9" si="4">SUM(AB7:AD7)</f>
        <v>0</v>
      </c>
    </row>
    <row r="8" spans="1:31" x14ac:dyDescent="0.25">
      <c r="A8" s="30" t="s">
        <v>5</v>
      </c>
      <c r="B8" s="219">
        <f>ROUNDDOWN(SUM('WK1:WK5'!F8)/MAX(1,INDEX(FREQUENCY('WK1:WK5'!F8,0),2)),0)</f>
        <v>3350</v>
      </c>
      <c r="C8" s="217">
        <f>ROUNDDOWN(SUM('WK1:WK5'!G8)/MAX(1,INDEX(FREQUENCY('WK1:WK5'!G8,0),2)),0)</f>
        <v>0</v>
      </c>
      <c r="D8" s="220">
        <f>ROUNDDOWN(SUM('WK1:WK5'!H8)/MAX(1,INDEX(FREQUENCY('WK1:WK5'!H8,0),2)),0)</f>
        <v>0</v>
      </c>
      <c r="E8" s="230">
        <f t="shared" si="0"/>
        <v>3350</v>
      </c>
      <c r="F8" s="223">
        <f>SUM('WK1:WK5'!J8)</f>
        <v>0</v>
      </c>
      <c r="G8" s="216">
        <f>SUM('WK1:WK5'!K8)</f>
        <v>0</v>
      </c>
      <c r="H8" s="216">
        <f>SUM('WK1:WK5'!L8)</f>
        <v>0</v>
      </c>
      <c r="I8" s="216">
        <f>SUM('WK1:WK5'!M8)</f>
        <v>13400</v>
      </c>
      <c r="J8" s="216">
        <f>SUM('WK1:WK5'!N8)</f>
        <v>3</v>
      </c>
      <c r="K8" s="216">
        <f>SUM('WK1:WK5'!O8)</f>
        <v>0</v>
      </c>
      <c r="L8" s="216">
        <f>SUM('WK1:WK5'!P8)</f>
        <v>0</v>
      </c>
      <c r="M8" s="207">
        <f t="shared" si="1"/>
        <v>13403</v>
      </c>
      <c r="N8" s="222">
        <f>SUM('WK1:WK5'!R8)</f>
        <v>0</v>
      </c>
      <c r="O8" s="218">
        <f>SUM('WK1:WK5'!S8)</f>
        <v>0</v>
      </c>
      <c r="P8" s="223">
        <f>SUM('WK1:WK5'!T8)</f>
        <v>0</v>
      </c>
      <c r="Q8" s="216">
        <f>SUM('WK1:WK5'!U8)</f>
        <v>0</v>
      </c>
      <c r="R8" s="221">
        <f>SUM('WK1:WK5'!V8)</f>
        <v>0</v>
      </c>
      <c r="S8" s="222">
        <f>SUM('WK1:WK5'!W8)</f>
        <v>0</v>
      </c>
      <c r="T8" s="216">
        <f>SUM('WK1:WK5'!X8)</f>
        <v>0</v>
      </c>
      <c r="U8" s="216">
        <f>SUM('WK1:WK5'!Y8)</f>
        <v>0</v>
      </c>
      <c r="V8" s="192">
        <f t="shared" si="2"/>
        <v>0</v>
      </c>
      <c r="W8" s="216">
        <f>SUM('WK1:WK5'!AA8)</f>
        <v>0</v>
      </c>
      <c r="X8" s="216">
        <f>SUM('WK1:WK5'!AB8)</f>
        <v>0</v>
      </c>
      <c r="Y8" s="216">
        <f>SUM('WK1:WK5'!AC8)</f>
        <v>0</v>
      </c>
      <c r="Z8" s="216">
        <f>SUM('WK1:WK5'!AD8)</f>
        <v>0</v>
      </c>
      <c r="AA8" s="192" t="str">
        <f t="shared" si="3"/>
        <v>-</v>
      </c>
      <c r="AB8" s="216">
        <f>SUM('WK1:WK5'!AF8)</f>
        <v>0</v>
      </c>
      <c r="AC8" s="216">
        <f>SUM('WK1:WK5'!AG8)</f>
        <v>0</v>
      </c>
      <c r="AD8" s="216">
        <f>SUM('WK1:WK5'!AH8)</f>
        <v>0</v>
      </c>
      <c r="AE8" s="123">
        <f t="shared" si="4"/>
        <v>0</v>
      </c>
    </row>
    <row r="9" spans="1:31" x14ac:dyDescent="0.25">
      <c r="A9" s="30" t="s">
        <v>6</v>
      </c>
      <c r="B9" s="219">
        <f>ROUNDDOWN(SUM('WK1:WK5'!F9)/MAX(1,INDEX(FREQUENCY('WK1:WK5'!F9,0),2)),0)</f>
        <v>5725</v>
      </c>
      <c r="C9" s="217">
        <f>ROUNDDOWN(SUM('WK1:WK5'!G9)/MAX(1,INDEX(FREQUENCY('WK1:WK5'!G9,0),2)),0)</f>
        <v>2500</v>
      </c>
      <c r="D9" s="220">
        <f>ROUNDDOWN(SUM('WK1:WK5'!H9)/MAX(1,INDEX(FREQUENCY('WK1:WK5'!H9,0),2)),0)</f>
        <v>0</v>
      </c>
      <c r="E9" s="230">
        <f t="shared" si="0"/>
        <v>8225</v>
      </c>
      <c r="F9" s="223">
        <f>SUM('WK1:WK5'!J9)</f>
        <v>0</v>
      </c>
      <c r="G9" s="216">
        <f>SUM('WK1:WK5'!K9)</f>
        <v>0</v>
      </c>
      <c r="H9" s="216">
        <f>SUM('WK1:WK5'!L9)</f>
        <v>0</v>
      </c>
      <c r="I9" s="216">
        <f>SUM('WK1:WK5'!M9)</f>
        <v>25400</v>
      </c>
      <c r="J9" s="216">
        <f>SUM('WK1:WK5'!N9)</f>
        <v>18</v>
      </c>
      <c r="K9" s="216">
        <f>SUM('WK1:WK5'!O9)</f>
        <v>0</v>
      </c>
      <c r="L9" s="216">
        <f>SUM('WK1:WK5'!P9)</f>
        <v>0</v>
      </c>
      <c r="M9" s="207">
        <f t="shared" si="1"/>
        <v>25418</v>
      </c>
      <c r="N9" s="222">
        <f>SUM('WK1:WK5'!R9)</f>
        <v>0</v>
      </c>
      <c r="O9" s="218">
        <f>SUM('WK1:WK5'!S9)</f>
        <v>0</v>
      </c>
      <c r="P9" s="223">
        <f>SUM('WK1:WK5'!T9)</f>
        <v>0</v>
      </c>
      <c r="Q9" s="216">
        <f>SUM('WK1:WK5'!U9)</f>
        <v>0</v>
      </c>
      <c r="R9" s="221">
        <f>SUM('WK1:WK5'!V9)</f>
        <v>0</v>
      </c>
      <c r="S9" s="222">
        <f>SUM('WK1:WK5'!W9)</f>
        <v>0</v>
      </c>
      <c r="T9" s="216">
        <f>SUM('WK1:WK5'!X9)</f>
        <v>0</v>
      </c>
      <c r="U9" s="216">
        <f>SUM('WK1:WK5'!Y9)</f>
        <v>0</v>
      </c>
      <c r="V9" s="192">
        <f t="shared" si="2"/>
        <v>0</v>
      </c>
      <c r="W9" s="216">
        <f>SUM('WK1:WK5'!AA9)</f>
        <v>0</v>
      </c>
      <c r="X9" s="216">
        <f>SUM('WK1:WK5'!AB9)</f>
        <v>0</v>
      </c>
      <c r="Y9" s="216">
        <f>SUM('WK1:WK5'!AC9)</f>
        <v>0</v>
      </c>
      <c r="Z9" s="216">
        <f>SUM('WK1:WK5'!AD9)</f>
        <v>0</v>
      </c>
      <c r="AA9" s="192" t="str">
        <f t="shared" si="3"/>
        <v>-</v>
      </c>
      <c r="AB9" s="216">
        <f>SUM('WK1:WK5'!AF9)</f>
        <v>0</v>
      </c>
      <c r="AC9" s="216">
        <f>SUM('WK1:WK5'!AG9)</f>
        <v>0</v>
      </c>
      <c r="AD9" s="216">
        <f>SUM('WK1:WK5'!AH9)</f>
        <v>0</v>
      </c>
      <c r="AE9" s="123">
        <f t="shared" si="4"/>
        <v>0</v>
      </c>
    </row>
    <row r="10" spans="1:31" x14ac:dyDescent="0.25">
      <c r="A10" s="237"/>
      <c r="B10" s="170">
        <f t="shared" ref="B10:U10" si="5">SUM(B6:B9)</f>
        <v>99137</v>
      </c>
      <c r="C10" s="156">
        <f t="shared" si="5"/>
        <v>31550</v>
      </c>
      <c r="D10" s="156">
        <f t="shared" si="5"/>
        <v>0</v>
      </c>
      <c r="E10" s="161">
        <f t="shared" si="5"/>
        <v>130687</v>
      </c>
      <c r="F10" s="175">
        <f t="shared" si="5"/>
        <v>0</v>
      </c>
      <c r="G10" s="156">
        <f t="shared" si="5"/>
        <v>46220</v>
      </c>
      <c r="H10" s="156">
        <f t="shared" si="5"/>
        <v>45240</v>
      </c>
      <c r="I10" s="156">
        <f t="shared" si="5"/>
        <v>629560</v>
      </c>
      <c r="J10" s="156">
        <f t="shared" si="5"/>
        <v>32</v>
      </c>
      <c r="K10" s="156">
        <f t="shared" si="5"/>
        <v>15</v>
      </c>
      <c r="L10" s="156">
        <f t="shared" si="5"/>
        <v>0</v>
      </c>
      <c r="M10" s="171">
        <f t="shared" si="5"/>
        <v>721067</v>
      </c>
      <c r="N10" s="194">
        <f t="shared" si="5"/>
        <v>0</v>
      </c>
      <c r="O10" s="161">
        <f>SUM(O6:O9)</f>
        <v>0</v>
      </c>
      <c r="P10" s="175">
        <f t="shared" si="5"/>
        <v>0</v>
      </c>
      <c r="Q10" s="156">
        <f>SUM(Q6:Q9)</f>
        <v>0</v>
      </c>
      <c r="R10" s="173">
        <f t="shared" si="5"/>
        <v>0</v>
      </c>
      <c r="S10" s="194">
        <f t="shared" si="5"/>
        <v>0</v>
      </c>
      <c r="T10" s="173">
        <f>SUM(T6:T9)</f>
        <v>0</v>
      </c>
      <c r="U10" s="156">
        <f t="shared" si="5"/>
        <v>0</v>
      </c>
      <c r="V10" s="161">
        <f>IF(SUM(V6:V9)&gt;0,AVERAGEIF(V6:V9,"&lt;&gt;0"),0)</f>
        <v>0</v>
      </c>
      <c r="W10" s="175">
        <f>SUM(W6:W9)</f>
        <v>0</v>
      </c>
      <c r="X10" s="156">
        <f>SUM(X6:X9)</f>
        <v>0</v>
      </c>
      <c r="Y10" s="156">
        <f>SUM(Y6:Y9)</f>
        <v>0</v>
      </c>
      <c r="Z10" s="171">
        <f>SUM(Z6:Z9)</f>
        <v>0</v>
      </c>
      <c r="AA10" s="161">
        <f>IF(SUM(AA6:AA9),AVERAGEIF(AA6:AA9,"&lt;&gt;0"),0)</f>
        <v>0</v>
      </c>
      <c r="AB10" s="194">
        <f>SUM(AB6:AB9)</f>
        <v>0</v>
      </c>
      <c r="AC10" s="156">
        <f>SUM(AC6:AC9)</f>
        <v>0</v>
      </c>
      <c r="AD10" s="156">
        <f>SUM(AD6:AD9)</f>
        <v>0</v>
      </c>
      <c r="AE10" s="161">
        <f>SUM(AE6:AE9)</f>
        <v>0</v>
      </c>
    </row>
    <row r="11" spans="1:31" ht="15" customHeight="1" x14ac:dyDescent="0.25">
      <c r="A11" s="30" t="s">
        <v>65</v>
      </c>
      <c r="B11" s="219">
        <f>ROUNDDOWN(SUM('WK1:WK5'!F11)/MAX(1,INDEX(FREQUENCY('WK1:WK5'!F11,0),2)),0)</f>
        <v>40902</v>
      </c>
      <c r="C11" s="217">
        <f>ROUNDDOWN(SUM('WK1:WK5'!G11)/MAX(1,INDEX(FREQUENCY('WK1:WK5'!G11,0),2)),0)</f>
        <v>3250</v>
      </c>
      <c r="D11" s="220">
        <f>ROUNDDOWN(SUM('WK1:WK5'!H11)/MAX(1,INDEX(FREQUENCY('WK1:WK5'!H11,0),2)),0)</f>
        <v>0</v>
      </c>
      <c r="E11" s="230">
        <f>SUM(B11:D11)</f>
        <v>44152</v>
      </c>
      <c r="F11" s="223">
        <f>SUM('WK1:WK5'!J11)</f>
        <v>0</v>
      </c>
      <c r="G11" s="216">
        <f>SUM('WK1:WK5'!K11)</f>
        <v>0</v>
      </c>
      <c r="H11" s="216">
        <f>SUM('WK1:WK5'!L11)</f>
        <v>0</v>
      </c>
      <c r="I11" s="216">
        <f>SUM('WK1:WK5'!M11)</f>
        <v>176610</v>
      </c>
      <c r="J11" s="216">
        <f>SUM('WK1:WK5'!N11)</f>
        <v>1</v>
      </c>
      <c r="K11" s="216">
        <f>SUM('WK1:WK5'!O11)</f>
        <v>1</v>
      </c>
      <c r="L11" s="216">
        <f>SUM('WK1:WK5'!P11)</f>
        <v>0</v>
      </c>
      <c r="M11" s="207">
        <f>SUM(F11:L11)</f>
        <v>176612</v>
      </c>
      <c r="N11" s="222">
        <f>SUM('WK1:WK5'!R11)</f>
        <v>0</v>
      </c>
      <c r="O11" s="218">
        <f>SUM('WK1:WK5'!S11)</f>
        <v>0</v>
      </c>
      <c r="P11" s="223">
        <f>SUM('WK1:WK5'!T11)</f>
        <v>0</v>
      </c>
      <c r="Q11" s="216">
        <f>SUM('WK1:WK5'!U11)</f>
        <v>0</v>
      </c>
      <c r="R11" s="221">
        <f>SUM('WK1:WK5'!V11)</f>
        <v>0</v>
      </c>
      <c r="S11" s="222">
        <f>SUM('WK1:WK5'!W11)</f>
        <v>0</v>
      </c>
      <c r="T11" s="216">
        <f>SUM('WK1:WK5'!X11)</f>
        <v>0</v>
      </c>
      <c r="U11" s="216">
        <f>SUM('WK1:WK5'!Y11)</f>
        <v>0</v>
      </c>
      <c r="V11" s="192">
        <f>SUM(S11:U11)</f>
        <v>0</v>
      </c>
      <c r="W11" s="216">
        <f>SUM('WK1:WK5'!AA11)</f>
        <v>0</v>
      </c>
      <c r="X11" s="216">
        <f>SUM('WK1:WK5'!AB11)</f>
        <v>0</v>
      </c>
      <c r="Y11" s="216">
        <f>SUM('WK1:WK5'!AC11)</f>
        <v>0</v>
      </c>
      <c r="Z11" s="216">
        <f>SUM('WK1:WK5'!AD11)</f>
        <v>0</v>
      </c>
      <c r="AA11" s="192" t="str">
        <f>IF(SUM(W11:Z11)&gt;0,AVERAGEIF(W11:Z11,"&lt;&gt;0"),"-")</f>
        <v>-</v>
      </c>
      <c r="AB11" s="216">
        <f>SUM('WK1:WK5'!AF11)</f>
        <v>0</v>
      </c>
      <c r="AC11" s="216">
        <f>SUM('WK1:WK5'!AG11)</f>
        <v>0</v>
      </c>
      <c r="AD11" s="216">
        <f>SUM('WK1:WK5'!AH11)</f>
        <v>0</v>
      </c>
      <c r="AE11" s="123">
        <f>SUM(AB11:AD11)</f>
        <v>0</v>
      </c>
    </row>
    <row r="12" spans="1:31" x14ac:dyDescent="0.25">
      <c r="A12" s="30" t="s">
        <v>4</v>
      </c>
      <c r="B12" s="219">
        <f>ROUNDDOWN(SUM('WK1:WK5'!F12)/MAX(1,INDEX(FREQUENCY('WK1:WK5'!F12,0),2)),0)</f>
        <v>15722</v>
      </c>
      <c r="C12" s="217">
        <f>ROUNDDOWN(SUM('WK1:WK5'!G12)/MAX(1,INDEX(FREQUENCY('WK1:WK5'!G12,0),2)),0)</f>
        <v>5862</v>
      </c>
      <c r="D12" s="220">
        <f>ROUNDDOWN(SUM('WK1:WK5'!H12)/MAX(1,INDEX(FREQUENCY('WK1:WK5'!H12,0),2)),0)</f>
        <v>0</v>
      </c>
      <c r="E12" s="230">
        <f t="shared" ref="E12:E14" si="6">SUM(B12:D12)</f>
        <v>21584</v>
      </c>
      <c r="F12" s="223">
        <f>SUM('WK1:WK5'!J12)</f>
        <v>0</v>
      </c>
      <c r="G12" s="216">
        <f>SUM('WK1:WK5'!K12)</f>
        <v>0</v>
      </c>
      <c r="H12" s="216">
        <f>SUM('WK1:WK5'!L12)</f>
        <v>0</v>
      </c>
      <c r="I12" s="216">
        <f>SUM('WK1:WK5'!M12)</f>
        <v>86340</v>
      </c>
      <c r="J12" s="216">
        <f>SUM('WK1:WK5'!N12)</f>
        <v>10</v>
      </c>
      <c r="K12" s="216">
        <f>SUM('WK1:WK5'!O12)</f>
        <v>1</v>
      </c>
      <c r="L12" s="216">
        <f>SUM('WK1:WK5'!P12)</f>
        <v>0</v>
      </c>
      <c r="M12" s="207">
        <f t="shared" ref="M12:M14" si="7">SUM(F12:L12)</f>
        <v>86351</v>
      </c>
      <c r="N12" s="222">
        <f>SUM('WK1:WK5'!R12)</f>
        <v>0</v>
      </c>
      <c r="O12" s="218">
        <f>SUM('WK1:WK5'!S12)</f>
        <v>0</v>
      </c>
      <c r="P12" s="223">
        <f>SUM('WK1:WK5'!T12)</f>
        <v>0</v>
      </c>
      <c r="Q12" s="216">
        <f>SUM('WK1:WK5'!U12)</f>
        <v>0</v>
      </c>
      <c r="R12" s="221">
        <f>SUM('WK1:WK5'!V12)</f>
        <v>0</v>
      </c>
      <c r="S12" s="222">
        <f>SUM('WK1:WK5'!W12)</f>
        <v>0</v>
      </c>
      <c r="T12" s="216">
        <f>SUM('WK1:WK5'!X12)</f>
        <v>0</v>
      </c>
      <c r="U12" s="216">
        <f>SUM('WK1:WK5'!Y12)</f>
        <v>0</v>
      </c>
      <c r="V12" s="192">
        <f t="shared" ref="V12:V14" si="8">SUM(S12:U12)</f>
        <v>0</v>
      </c>
      <c r="W12" s="216">
        <f>SUM('WK1:WK5'!AA12)</f>
        <v>0</v>
      </c>
      <c r="X12" s="216">
        <f>SUM('WK1:WK5'!AB12)</f>
        <v>0</v>
      </c>
      <c r="Y12" s="216">
        <f>SUM('WK1:WK5'!AC12)</f>
        <v>0</v>
      </c>
      <c r="Z12" s="216">
        <f>SUM('WK1:WK5'!AD12)</f>
        <v>0</v>
      </c>
      <c r="AA12" s="192" t="str">
        <f t="shared" ref="AA12:AA14" si="9">IF(SUM(W12:Z12)&gt;0,AVERAGEIF(W12:Z12,"&lt;&gt;0"),"-")</f>
        <v>-</v>
      </c>
      <c r="AB12" s="216">
        <f>SUM('WK1:WK5'!AF12)</f>
        <v>0</v>
      </c>
      <c r="AC12" s="216">
        <f>SUM('WK1:WK5'!AG12)</f>
        <v>0</v>
      </c>
      <c r="AD12" s="216">
        <f>SUM('WK1:WK5'!AH12)</f>
        <v>0</v>
      </c>
      <c r="AE12" s="123">
        <f t="shared" ref="AE12:AE14" si="10">SUM(AB12:AD12)</f>
        <v>0</v>
      </c>
    </row>
    <row r="13" spans="1:31" x14ac:dyDescent="0.25">
      <c r="A13" s="30" t="s">
        <v>3</v>
      </c>
      <c r="B13" s="219">
        <f>ROUNDDOWN(SUM('WK1:WK5'!F13)/MAX(1,INDEX(FREQUENCY('WK1:WK5'!F13,0),2)),0)</f>
        <v>26832</v>
      </c>
      <c r="C13" s="217">
        <f>ROUNDDOWN(SUM('WK1:WK5'!G13)/MAX(1,INDEX(FREQUENCY('WK1:WK5'!G13,0),2)),0)</f>
        <v>2000</v>
      </c>
      <c r="D13" s="220">
        <f>ROUNDDOWN(SUM('WK1:WK5'!H13)/MAX(1,INDEX(FREQUENCY('WK1:WK5'!H13,0),2)),0)</f>
        <v>0</v>
      </c>
      <c r="E13" s="230">
        <f t="shared" si="6"/>
        <v>28832</v>
      </c>
      <c r="F13" s="223">
        <f>SUM('WK1:WK5'!J13)</f>
        <v>0</v>
      </c>
      <c r="G13" s="216">
        <f>SUM('WK1:WK5'!K13)</f>
        <v>4600</v>
      </c>
      <c r="H13" s="216">
        <f>SUM('WK1:WK5'!L13)</f>
        <v>16000</v>
      </c>
      <c r="I13" s="216">
        <f>SUM('WK1:WK5'!M13)</f>
        <v>131930</v>
      </c>
      <c r="J13" s="216">
        <f>SUM('WK1:WK5'!N13)</f>
        <v>8</v>
      </c>
      <c r="K13" s="216">
        <f>SUM('WK1:WK5'!O13)</f>
        <v>0</v>
      </c>
      <c r="L13" s="216">
        <f>SUM('WK1:WK5'!P13)</f>
        <v>0</v>
      </c>
      <c r="M13" s="207">
        <f t="shared" si="7"/>
        <v>152538</v>
      </c>
      <c r="N13" s="222">
        <f>SUM('WK1:WK5'!R13)</f>
        <v>0</v>
      </c>
      <c r="O13" s="218">
        <f>SUM('WK1:WK5'!S13)</f>
        <v>0</v>
      </c>
      <c r="P13" s="223">
        <f>SUM('WK1:WK5'!T13)</f>
        <v>0</v>
      </c>
      <c r="Q13" s="216">
        <f>SUM('WK1:WK5'!U13)</f>
        <v>0</v>
      </c>
      <c r="R13" s="221">
        <f>SUM('WK1:WK5'!V13)</f>
        <v>0</v>
      </c>
      <c r="S13" s="222">
        <f>SUM('WK1:WK5'!W13)</f>
        <v>0</v>
      </c>
      <c r="T13" s="216">
        <f>SUM('WK1:WK5'!X13)</f>
        <v>0</v>
      </c>
      <c r="U13" s="216">
        <f>SUM('WK1:WK5'!Y13)</f>
        <v>0</v>
      </c>
      <c r="V13" s="192">
        <f t="shared" si="8"/>
        <v>0</v>
      </c>
      <c r="W13" s="216">
        <f>SUM('WK1:WK5'!AA13)</f>
        <v>0</v>
      </c>
      <c r="X13" s="216">
        <f>SUM('WK1:WK5'!AB13)</f>
        <v>0</v>
      </c>
      <c r="Y13" s="216">
        <f>SUM('WK1:WK5'!AC13)</f>
        <v>0</v>
      </c>
      <c r="Z13" s="216">
        <f>SUM('WK1:WK5'!AD13)</f>
        <v>0</v>
      </c>
      <c r="AA13" s="192" t="str">
        <f t="shared" si="9"/>
        <v>-</v>
      </c>
      <c r="AB13" s="216">
        <f>SUM('WK1:WK5'!AF13)</f>
        <v>0</v>
      </c>
      <c r="AC13" s="216">
        <f>SUM('WK1:WK5'!AG13)</f>
        <v>0</v>
      </c>
      <c r="AD13" s="216">
        <f>SUM('WK1:WK5'!AH13)</f>
        <v>0</v>
      </c>
      <c r="AE13" s="123">
        <f t="shared" si="10"/>
        <v>0</v>
      </c>
    </row>
    <row r="14" spans="1:31" x14ac:dyDescent="0.25">
      <c r="A14" s="30" t="s">
        <v>107</v>
      </c>
      <c r="B14" s="219">
        <f>ROUNDDOWN(SUM('WK1:WK5'!F14)/MAX(1,INDEX(FREQUENCY('WK1:WK5'!F14,0),2)),0)</f>
        <v>1062</v>
      </c>
      <c r="C14" s="217">
        <f>ROUNDDOWN(SUM('WK1:WK5'!G14)/MAX(1,INDEX(FREQUENCY('WK1:WK5'!G14,0),2)),0)</f>
        <v>1600</v>
      </c>
      <c r="D14" s="220">
        <f>ROUNDDOWN(SUM('WK1:WK5'!H14)/MAX(1,INDEX(FREQUENCY('WK1:WK5'!H14,0),2)),0)</f>
        <v>0</v>
      </c>
      <c r="E14" s="230">
        <f t="shared" si="6"/>
        <v>2662</v>
      </c>
      <c r="F14" s="223">
        <f>SUM('WK1:WK5'!J14)</f>
        <v>0</v>
      </c>
      <c r="G14" s="216">
        <f>SUM('WK1:WK5'!K14)</f>
        <v>0</v>
      </c>
      <c r="H14" s="216">
        <f>SUM('WK1:WK5'!L14)</f>
        <v>0</v>
      </c>
      <c r="I14" s="216">
        <f>SUM('WK1:WK5'!M14)</f>
        <v>10650</v>
      </c>
      <c r="J14" s="216">
        <f>SUM('WK1:WK5'!N14)</f>
        <v>8</v>
      </c>
      <c r="K14" s="216">
        <f>SUM('WK1:WK5'!O14)</f>
        <v>0</v>
      </c>
      <c r="L14" s="216">
        <f>SUM('WK1:WK5'!P14)</f>
        <v>0</v>
      </c>
      <c r="M14" s="207">
        <f t="shared" si="7"/>
        <v>10658</v>
      </c>
      <c r="N14" s="222">
        <f>SUM('WK1:WK5'!R14)</f>
        <v>0</v>
      </c>
      <c r="O14" s="218">
        <f>SUM('WK1:WK5'!S14)</f>
        <v>0</v>
      </c>
      <c r="P14" s="223">
        <f>SUM('WK1:WK5'!T14)</f>
        <v>0</v>
      </c>
      <c r="Q14" s="216">
        <f>SUM('WK1:WK5'!U14)</f>
        <v>0</v>
      </c>
      <c r="R14" s="221">
        <f>SUM('WK1:WK5'!V14)</f>
        <v>0</v>
      </c>
      <c r="S14" s="222">
        <f>SUM('WK1:WK5'!W14)</f>
        <v>0</v>
      </c>
      <c r="T14" s="216">
        <f>SUM('WK1:WK5'!X14)</f>
        <v>0</v>
      </c>
      <c r="U14" s="216">
        <f>SUM('WK1:WK5'!Y14)</f>
        <v>0</v>
      </c>
      <c r="V14" s="192">
        <f t="shared" si="8"/>
        <v>0</v>
      </c>
      <c r="W14" s="216">
        <f>SUM('WK1:WK5'!AA14)</f>
        <v>0</v>
      </c>
      <c r="X14" s="216">
        <f>SUM('WK1:WK5'!AB14)</f>
        <v>0</v>
      </c>
      <c r="Y14" s="216">
        <f>SUM('WK1:WK5'!AC14)</f>
        <v>0</v>
      </c>
      <c r="Z14" s="216">
        <f>SUM('WK1:WK5'!AD14)</f>
        <v>0</v>
      </c>
      <c r="AA14" s="192" t="str">
        <f t="shared" si="9"/>
        <v>-</v>
      </c>
      <c r="AB14" s="216">
        <f>SUM('WK1:WK5'!AF14)</f>
        <v>0</v>
      </c>
      <c r="AC14" s="216">
        <f>SUM('WK1:WK5'!AG14)</f>
        <v>0</v>
      </c>
      <c r="AD14" s="216">
        <f>SUM('WK1:WK5'!AH14)</f>
        <v>0</v>
      </c>
      <c r="AE14" s="123">
        <f t="shared" si="10"/>
        <v>0</v>
      </c>
    </row>
    <row r="15" spans="1:31" x14ac:dyDescent="0.25">
      <c r="A15" s="236"/>
      <c r="B15" s="170">
        <f t="shared" ref="B15:U15" si="11">SUM(B11:B14)</f>
        <v>84518</v>
      </c>
      <c r="C15" s="156">
        <f t="shared" si="11"/>
        <v>12712</v>
      </c>
      <c r="D15" s="156">
        <f t="shared" si="11"/>
        <v>0</v>
      </c>
      <c r="E15" s="161">
        <f t="shared" si="11"/>
        <v>97230</v>
      </c>
      <c r="F15" s="175">
        <f t="shared" si="11"/>
        <v>0</v>
      </c>
      <c r="G15" s="156">
        <f t="shared" si="11"/>
        <v>4600</v>
      </c>
      <c r="H15" s="156">
        <f t="shared" si="11"/>
        <v>16000</v>
      </c>
      <c r="I15" s="156">
        <f t="shared" si="11"/>
        <v>405530</v>
      </c>
      <c r="J15" s="156">
        <f t="shared" si="11"/>
        <v>27</v>
      </c>
      <c r="K15" s="156">
        <f t="shared" si="11"/>
        <v>2</v>
      </c>
      <c r="L15" s="156">
        <f t="shared" si="11"/>
        <v>0</v>
      </c>
      <c r="M15" s="171">
        <f t="shared" si="11"/>
        <v>426159</v>
      </c>
      <c r="N15" s="194">
        <f t="shared" si="11"/>
        <v>0</v>
      </c>
      <c r="O15" s="161">
        <f t="shared" si="11"/>
        <v>0</v>
      </c>
      <c r="P15" s="175">
        <f t="shared" si="11"/>
        <v>0</v>
      </c>
      <c r="Q15" s="156">
        <f>SUM(Q11:Q14)</f>
        <v>0</v>
      </c>
      <c r="R15" s="173">
        <f t="shared" si="11"/>
        <v>0</v>
      </c>
      <c r="S15" s="194">
        <f t="shared" si="11"/>
        <v>0</v>
      </c>
      <c r="T15" s="173">
        <f>SUM(T11:T14)</f>
        <v>0</v>
      </c>
      <c r="U15" s="156">
        <f t="shared" si="11"/>
        <v>0</v>
      </c>
      <c r="V15" s="161">
        <f>IF(SUM(V11:V14)&gt;0,AVERAGEIF(V11:V14,"&lt;&gt;0"),0)</f>
        <v>0</v>
      </c>
      <c r="W15" s="156">
        <f>SUM(W11:W14)</f>
        <v>0</v>
      </c>
      <c r="X15" s="156">
        <f>SUM(X11:X14)</f>
        <v>0</v>
      </c>
      <c r="Y15" s="156">
        <f>SUM(Y11:Y14)</f>
        <v>0</v>
      </c>
      <c r="Z15" s="173">
        <f>SUM(Z11:Z14)</f>
        <v>0</v>
      </c>
      <c r="AA15" s="161">
        <f>IF(SUM(AA11:AA14),AVERAGEIF(AA11:AA14,"&lt;&gt;0"),0)</f>
        <v>0</v>
      </c>
      <c r="AB15" s="194">
        <f>SUM(AB11:AB14)</f>
        <v>0</v>
      </c>
      <c r="AC15" s="156">
        <f>SUM(AC11:AC14)</f>
        <v>0</v>
      </c>
      <c r="AD15" s="156">
        <f>SUM(AD11:AD14)</f>
        <v>0</v>
      </c>
      <c r="AE15" s="161">
        <f>SUM(AE11:AE14)</f>
        <v>0</v>
      </c>
    </row>
    <row r="16" spans="1:31" ht="15" customHeight="1" x14ac:dyDescent="0.25">
      <c r="A16" s="30" t="s">
        <v>14</v>
      </c>
      <c r="B16" s="219">
        <f>ROUNDDOWN(SUM('WK1:WK5'!F16)/MAX(1,INDEX(FREQUENCY('WK1:WK5'!F16,0),2)),0)</f>
        <v>32660</v>
      </c>
      <c r="C16" s="217">
        <f>ROUNDDOWN(SUM('WK1:WK5'!G16)/MAX(1,INDEX(FREQUENCY('WK1:WK5'!G16,0),2)),0)</f>
        <v>19000</v>
      </c>
      <c r="D16" s="220">
        <f>ROUNDDOWN(SUM('WK1:WK5'!H16)/MAX(1,INDEX(FREQUENCY('WK1:WK5'!H16,0),2)),0)</f>
        <v>0</v>
      </c>
      <c r="E16" s="230">
        <f>SUM(B16:D16)</f>
        <v>51660</v>
      </c>
      <c r="F16" s="223">
        <f>SUM('WK1:WK5'!J16)</f>
        <v>0</v>
      </c>
      <c r="G16" s="216">
        <f>SUM('WK1:WK5'!K16)</f>
        <v>2150</v>
      </c>
      <c r="H16" s="216">
        <f>SUM('WK1:WK5'!L16)</f>
        <v>34950</v>
      </c>
      <c r="I16" s="216">
        <f>SUM('WK1:WK5'!M16)</f>
        <v>258640</v>
      </c>
      <c r="J16" s="216">
        <f>SUM('WK1:WK5'!N16)</f>
        <v>8</v>
      </c>
      <c r="K16" s="216">
        <f>SUM('WK1:WK5'!O16)</f>
        <v>1</v>
      </c>
      <c r="L16" s="216">
        <f>SUM('WK1:WK5'!P16)</f>
        <v>0</v>
      </c>
      <c r="M16" s="207">
        <f>SUM(F16:L16)</f>
        <v>295749</v>
      </c>
      <c r="N16" s="222">
        <f>SUM('WK1:WK5'!R16)</f>
        <v>0</v>
      </c>
      <c r="O16" s="218">
        <f>SUM('WK1:WK5'!S16)</f>
        <v>0</v>
      </c>
      <c r="P16" s="223">
        <f>SUM('WK1:WK5'!T16)</f>
        <v>0</v>
      </c>
      <c r="Q16" s="216">
        <f>SUM('WK1:WK5'!U16)</f>
        <v>0</v>
      </c>
      <c r="R16" s="221">
        <f>SUM('WK1:WK5'!V16)</f>
        <v>0</v>
      </c>
      <c r="S16" s="222">
        <f>SUM('WK1:WK5'!W16)</f>
        <v>0</v>
      </c>
      <c r="T16" s="216">
        <f>SUM('WK1:WK5'!X16)</f>
        <v>0</v>
      </c>
      <c r="U16" s="216">
        <f>SUM('WK1:WK5'!Y16)</f>
        <v>0</v>
      </c>
      <c r="V16" s="192">
        <f>SUM(S16:U16)</f>
        <v>0</v>
      </c>
      <c r="W16" s="216">
        <f>SUM('WK1:WK5'!AA16)</f>
        <v>0</v>
      </c>
      <c r="X16" s="216">
        <f>SUM('WK1:WK5'!AB16)</f>
        <v>0</v>
      </c>
      <c r="Y16" s="216">
        <f>SUM('WK1:WK5'!AC16)</f>
        <v>0</v>
      </c>
      <c r="Z16" s="216">
        <f>SUM('WK1:WK5'!AD16)</f>
        <v>0</v>
      </c>
      <c r="AA16" s="192" t="str">
        <f>IF(SUM(W16:Z16)&gt;0,AVERAGEIF(W16:Z16,"&lt;&gt;0"),"-")</f>
        <v>-</v>
      </c>
      <c r="AB16" s="216">
        <f>SUM('WK1:WK5'!AF16)</f>
        <v>0</v>
      </c>
      <c r="AC16" s="216">
        <f>SUM('WK1:WK5'!AG16)</f>
        <v>0</v>
      </c>
      <c r="AD16" s="216">
        <f>SUM('WK1:WK5'!AH16)</f>
        <v>0</v>
      </c>
      <c r="AE16" s="123">
        <f>SUM(AB16:AD16)</f>
        <v>0</v>
      </c>
    </row>
    <row r="17" spans="1:31" x14ac:dyDescent="0.25">
      <c r="A17" s="30" t="s">
        <v>15</v>
      </c>
      <c r="B17" s="219">
        <f>ROUNDDOWN(SUM('WK1:WK5'!F17)/MAX(1,INDEX(FREQUENCY('WK1:WK5'!F17,0),2)),0)</f>
        <v>19402</v>
      </c>
      <c r="C17" s="217">
        <f>ROUNDDOWN(SUM('WK1:WK5'!G17)/MAX(1,INDEX(FREQUENCY('WK1:WK5'!G17,0),2)),0)</f>
        <v>25562</v>
      </c>
      <c r="D17" s="220">
        <f>ROUNDDOWN(SUM('WK1:WK5'!H17)/MAX(1,INDEX(FREQUENCY('WK1:WK5'!H17,0),2)),0)</f>
        <v>0</v>
      </c>
      <c r="E17" s="230">
        <f t="shared" ref="E17:E20" si="12">SUM(B17:D17)</f>
        <v>44964</v>
      </c>
      <c r="F17" s="223">
        <f>SUM('WK1:WK5'!J17)</f>
        <v>0</v>
      </c>
      <c r="G17" s="216">
        <f>SUM('WK1:WK5'!K17)</f>
        <v>8840</v>
      </c>
      <c r="H17" s="216">
        <f>SUM('WK1:WK5'!L17)</f>
        <v>9570</v>
      </c>
      <c r="I17" s="216">
        <f>SUM('WK1:WK5'!M17)</f>
        <v>198270</v>
      </c>
      <c r="J17" s="216">
        <f>SUM('WK1:WK5'!N17)</f>
        <v>14</v>
      </c>
      <c r="K17" s="216">
        <f>SUM('WK1:WK5'!O17)</f>
        <v>14</v>
      </c>
      <c r="L17" s="216">
        <f>SUM('WK1:WK5'!P17)</f>
        <v>0</v>
      </c>
      <c r="M17" s="207">
        <f t="shared" ref="M17:M20" si="13">SUM(F17:L17)</f>
        <v>216708</v>
      </c>
      <c r="N17" s="222">
        <f>SUM('WK1:WK5'!R17)</f>
        <v>0</v>
      </c>
      <c r="O17" s="218">
        <f>SUM('WK1:WK5'!S17)</f>
        <v>0</v>
      </c>
      <c r="P17" s="223">
        <f>SUM('WK1:WK5'!T17)</f>
        <v>0</v>
      </c>
      <c r="Q17" s="216">
        <f>SUM('WK1:WK5'!U17)</f>
        <v>0</v>
      </c>
      <c r="R17" s="221">
        <f>SUM('WK1:WK5'!V17)</f>
        <v>0</v>
      </c>
      <c r="S17" s="222">
        <f>SUM('WK1:WK5'!W17)</f>
        <v>0</v>
      </c>
      <c r="T17" s="216">
        <f>SUM('WK1:WK5'!X17)</f>
        <v>0</v>
      </c>
      <c r="U17" s="216">
        <f>SUM('WK1:WK5'!Y17)</f>
        <v>0</v>
      </c>
      <c r="V17" s="192">
        <f t="shared" ref="V17:V20" si="14">SUM(S17:U17)</f>
        <v>0</v>
      </c>
      <c r="W17" s="216">
        <f>SUM('WK1:WK5'!AA17)</f>
        <v>0</v>
      </c>
      <c r="X17" s="216">
        <f>SUM('WK1:WK5'!AB17)</f>
        <v>0</v>
      </c>
      <c r="Y17" s="216">
        <f>SUM('WK1:WK5'!AC17)</f>
        <v>0</v>
      </c>
      <c r="Z17" s="216">
        <f>SUM('WK1:WK5'!AD17)</f>
        <v>0</v>
      </c>
      <c r="AA17" s="192" t="str">
        <f t="shared" ref="AA17:AA20" si="15">IF(SUM(W17:Z17)&gt;0,AVERAGEIF(W17:Z17,"&lt;&gt;0"),"-")</f>
        <v>-</v>
      </c>
      <c r="AB17" s="216">
        <f>SUM('WK1:WK5'!AF17)</f>
        <v>0</v>
      </c>
      <c r="AC17" s="216">
        <f>SUM('WK1:WK5'!AG17)</f>
        <v>0</v>
      </c>
      <c r="AD17" s="216">
        <f>SUM('WK1:WK5'!AH17)</f>
        <v>0</v>
      </c>
      <c r="AE17" s="123">
        <f t="shared" ref="AE17:AE20" si="16">SUM(AB17:AD17)</f>
        <v>0</v>
      </c>
    </row>
    <row r="18" spans="1:31" x14ac:dyDescent="0.25">
      <c r="A18" s="30" t="s">
        <v>16</v>
      </c>
      <c r="B18" s="219">
        <f>ROUNDDOWN(SUM('WK1:WK5'!F18)/MAX(1,INDEX(FREQUENCY('WK1:WK5'!F18,0),2)),0)</f>
        <v>7632</v>
      </c>
      <c r="C18" s="217">
        <f>ROUNDDOWN(SUM('WK1:WK5'!G18)/MAX(1,INDEX(FREQUENCY('WK1:WK5'!G18,0),2)),0)</f>
        <v>14833</v>
      </c>
      <c r="D18" s="220">
        <f>ROUNDDOWN(SUM('WK1:WK5'!H18)/MAX(1,INDEX(FREQUENCY('WK1:WK5'!H18,0),2)),0)</f>
        <v>0</v>
      </c>
      <c r="E18" s="230">
        <f t="shared" si="12"/>
        <v>22465</v>
      </c>
      <c r="F18" s="223">
        <f>SUM('WK1:WK5'!J18)</f>
        <v>0</v>
      </c>
      <c r="G18" s="216">
        <f>SUM('WK1:WK5'!K18)</f>
        <v>300</v>
      </c>
      <c r="H18" s="216">
        <f>SUM('WK1:WK5'!L18)</f>
        <v>1650</v>
      </c>
      <c r="I18" s="216">
        <f>SUM('WK1:WK5'!M18)</f>
        <v>80400</v>
      </c>
      <c r="J18" s="216">
        <f>SUM('WK1:WK5'!N18)</f>
        <v>19</v>
      </c>
      <c r="K18" s="216">
        <f>SUM('WK1:WK5'!O18)</f>
        <v>0</v>
      </c>
      <c r="L18" s="216">
        <f>SUM('WK1:WK5'!P18)</f>
        <v>0</v>
      </c>
      <c r="M18" s="207">
        <f t="shared" si="13"/>
        <v>82369</v>
      </c>
      <c r="N18" s="222">
        <f>SUM('WK1:WK5'!R18)</f>
        <v>0</v>
      </c>
      <c r="O18" s="218">
        <f>SUM('WK1:WK5'!S18)</f>
        <v>0</v>
      </c>
      <c r="P18" s="223">
        <f>SUM('WK1:WK5'!T18)</f>
        <v>0</v>
      </c>
      <c r="Q18" s="216">
        <f>SUM('WK1:WK5'!U18)</f>
        <v>0</v>
      </c>
      <c r="R18" s="221">
        <f>SUM('WK1:WK5'!V18)</f>
        <v>0</v>
      </c>
      <c r="S18" s="222">
        <f>SUM('WK1:WK5'!W18)</f>
        <v>0</v>
      </c>
      <c r="T18" s="216">
        <f>SUM('WK1:WK5'!X18)</f>
        <v>0</v>
      </c>
      <c r="U18" s="216">
        <f>SUM('WK1:WK5'!Y18)</f>
        <v>0</v>
      </c>
      <c r="V18" s="192">
        <f t="shared" si="14"/>
        <v>0</v>
      </c>
      <c r="W18" s="216">
        <f>SUM('WK1:WK5'!AA18)</f>
        <v>0</v>
      </c>
      <c r="X18" s="216">
        <f>SUM('WK1:WK5'!AB18)</f>
        <v>0</v>
      </c>
      <c r="Y18" s="216">
        <f>SUM('WK1:WK5'!AC18)</f>
        <v>0</v>
      </c>
      <c r="Z18" s="216">
        <f>SUM('WK1:WK5'!AD18)</f>
        <v>0</v>
      </c>
      <c r="AA18" s="192" t="str">
        <f t="shared" si="15"/>
        <v>-</v>
      </c>
      <c r="AB18" s="216">
        <f>SUM('WK1:WK5'!AF18)</f>
        <v>0</v>
      </c>
      <c r="AC18" s="216">
        <f>SUM('WK1:WK5'!AG18)</f>
        <v>0</v>
      </c>
      <c r="AD18" s="216">
        <f>SUM('WK1:WK5'!AH18)</f>
        <v>0</v>
      </c>
      <c r="AE18" s="123">
        <f t="shared" si="16"/>
        <v>0</v>
      </c>
    </row>
    <row r="19" spans="1:31" x14ac:dyDescent="0.25">
      <c r="A19" s="30" t="s">
        <v>17</v>
      </c>
      <c r="B19" s="219">
        <f>ROUNDDOWN(SUM('WK1:WK5'!F19)/MAX(1,INDEX(FREQUENCY('WK1:WK5'!F19,0),2)),0)</f>
        <v>2265</v>
      </c>
      <c r="C19" s="217">
        <f>ROUNDDOWN(SUM('WK1:WK5'!G19)/MAX(1,INDEX(FREQUENCY('WK1:WK5'!G19,0),2)),0)</f>
        <v>7550</v>
      </c>
      <c r="D19" s="220">
        <f>ROUNDDOWN(SUM('WK1:WK5'!H19)/MAX(1,INDEX(FREQUENCY('WK1:WK5'!H19,0),2)),0)</f>
        <v>0</v>
      </c>
      <c r="E19" s="230">
        <f t="shared" si="12"/>
        <v>9815</v>
      </c>
      <c r="F19" s="223">
        <f>SUM('WK1:WK5'!J19)</f>
        <v>0</v>
      </c>
      <c r="G19" s="216">
        <f>SUM('WK1:WK5'!K19)</f>
        <v>1040</v>
      </c>
      <c r="H19" s="216">
        <f>SUM('WK1:WK5'!L19)</f>
        <v>0</v>
      </c>
      <c r="I19" s="216">
        <f>SUM('WK1:WK5'!M19)</f>
        <v>40800</v>
      </c>
      <c r="J19" s="216">
        <f>SUM('WK1:WK5'!N19)</f>
        <v>8</v>
      </c>
      <c r="K19" s="216">
        <f>SUM('WK1:WK5'!O19)</f>
        <v>2</v>
      </c>
      <c r="L19" s="216">
        <f>SUM('WK1:WK5'!P19)</f>
        <v>0</v>
      </c>
      <c r="M19" s="207">
        <f t="shared" si="13"/>
        <v>41850</v>
      </c>
      <c r="N19" s="222">
        <f>SUM('WK1:WK5'!R19)</f>
        <v>0</v>
      </c>
      <c r="O19" s="218">
        <f>SUM('WK1:WK5'!S19)</f>
        <v>0</v>
      </c>
      <c r="P19" s="223">
        <f>SUM('WK1:WK5'!T19)</f>
        <v>0</v>
      </c>
      <c r="Q19" s="216">
        <f>SUM('WK1:WK5'!U19)</f>
        <v>0</v>
      </c>
      <c r="R19" s="221">
        <f>SUM('WK1:WK5'!V19)</f>
        <v>0</v>
      </c>
      <c r="S19" s="222">
        <f>SUM('WK1:WK5'!W19)</f>
        <v>0</v>
      </c>
      <c r="T19" s="216">
        <f>SUM('WK1:WK5'!X19)</f>
        <v>0</v>
      </c>
      <c r="U19" s="216">
        <f>SUM('WK1:WK5'!Y19)</f>
        <v>0</v>
      </c>
      <c r="V19" s="192">
        <f t="shared" si="14"/>
        <v>0</v>
      </c>
      <c r="W19" s="216">
        <f>SUM('WK1:WK5'!AA19)</f>
        <v>0</v>
      </c>
      <c r="X19" s="216">
        <f>SUM('WK1:WK5'!AB19)</f>
        <v>0</v>
      </c>
      <c r="Y19" s="216">
        <f>SUM('WK1:WK5'!AC19)</f>
        <v>0</v>
      </c>
      <c r="Z19" s="216">
        <f>SUM('WK1:WK5'!AD19)</f>
        <v>0</v>
      </c>
      <c r="AA19" s="192" t="str">
        <f t="shared" si="15"/>
        <v>-</v>
      </c>
      <c r="AB19" s="216">
        <f>SUM('WK1:WK5'!AF19)</f>
        <v>0</v>
      </c>
      <c r="AC19" s="216">
        <f>SUM('WK1:WK5'!AG19)</f>
        <v>0</v>
      </c>
      <c r="AD19" s="216">
        <f>SUM('WK1:WK5'!AH19)</f>
        <v>0</v>
      </c>
      <c r="AE19" s="123">
        <f t="shared" si="16"/>
        <v>0</v>
      </c>
    </row>
    <row r="20" spans="1:31" x14ac:dyDescent="0.25">
      <c r="A20" s="30" t="s">
        <v>18</v>
      </c>
      <c r="B20" s="219">
        <f>ROUNDDOWN(SUM('WK1:WK5'!F20)/MAX(1,INDEX(FREQUENCY('WK1:WK5'!F20,0),2)),0)</f>
        <v>6270</v>
      </c>
      <c r="C20" s="217">
        <f>ROUNDDOWN(SUM('WK1:WK5'!G20)/MAX(1,INDEX(FREQUENCY('WK1:WK5'!G20,0),2)),0)</f>
        <v>7366</v>
      </c>
      <c r="D20" s="220">
        <f>ROUNDDOWN(SUM('WK1:WK5'!H20)/MAX(1,INDEX(FREQUENCY('WK1:WK5'!H20,0),2)),0)</f>
        <v>0</v>
      </c>
      <c r="E20" s="230">
        <f t="shared" si="12"/>
        <v>13636</v>
      </c>
      <c r="F20" s="223">
        <f>SUM('WK1:WK5'!J20)</f>
        <v>0</v>
      </c>
      <c r="G20" s="216">
        <f>SUM('WK1:WK5'!K20)</f>
        <v>4200</v>
      </c>
      <c r="H20" s="216">
        <f>SUM('WK1:WK5'!L20)</f>
        <v>0</v>
      </c>
      <c r="I20" s="216">
        <f>SUM('WK1:WK5'!M20)</f>
        <v>46560</v>
      </c>
      <c r="J20" s="216">
        <f>SUM('WK1:WK5'!N20)</f>
        <v>8</v>
      </c>
      <c r="K20" s="216">
        <f>SUM('WK1:WK5'!O20)</f>
        <v>2</v>
      </c>
      <c r="L20" s="216">
        <f>SUM('WK1:WK5'!P20)</f>
        <v>0</v>
      </c>
      <c r="M20" s="207">
        <f t="shared" si="13"/>
        <v>50770</v>
      </c>
      <c r="N20" s="222">
        <f>SUM('WK1:WK5'!R20)</f>
        <v>0</v>
      </c>
      <c r="O20" s="218">
        <f>SUM('WK1:WK5'!S20)</f>
        <v>0</v>
      </c>
      <c r="P20" s="223">
        <f>SUM('WK1:WK5'!T20)</f>
        <v>0</v>
      </c>
      <c r="Q20" s="216">
        <f>SUM('WK1:WK5'!U20)</f>
        <v>0</v>
      </c>
      <c r="R20" s="221">
        <f>SUM('WK1:WK5'!V20)</f>
        <v>0</v>
      </c>
      <c r="S20" s="222">
        <f>SUM('WK1:WK5'!W20)</f>
        <v>0</v>
      </c>
      <c r="T20" s="216">
        <f>SUM('WK1:WK5'!X20)</f>
        <v>0</v>
      </c>
      <c r="U20" s="216">
        <f>SUM('WK1:WK5'!Y20)</f>
        <v>0</v>
      </c>
      <c r="V20" s="192">
        <f t="shared" si="14"/>
        <v>0</v>
      </c>
      <c r="W20" s="216">
        <f>SUM('WK1:WK5'!AA20)</f>
        <v>0</v>
      </c>
      <c r="X20" s="216">
        <f>SUM('WK1:WK5'!AB20)</f>
        <v>0</v>
      </c>
      <c r="Y20" s="216">
        <f>SUM('WK1:WK5'!AC20)</f>
        <v>0</v>
      </c>
      <c r="Z20" s="216">
        <f>SUM('WK1:WK5'!AD20)</f>
        <v>0</v>
      </c>
      <c r="AA20" s="192" t="str">
        <f t="shared" si="15"/>
        <v>-</v>
      </c>
      <c r="AB20" s="216">
        <f>SUM('WK1:WK5'!AF20)</f>
        <v>0</v>
      </c>
      <c r="AC20" s="216">
        <f>SUM('WK1:WK5'!AG20)</f>
        <v>0</v>
      </c>
      <c r="AD20" s="216">
        <f>SUM('WK1:WK5'!AH20)</f>
        <v>0</v>
      </c>
      <c r="AE20" s="123">
        <f t="shared" si="16"/>
        <v>0</v>
      </c>
    </row>
    <row r="21" spans="1:31" x14ac:dyDescent="0.25">
      <c r="A21" s="236"/>
      <c r="B21" s="158">
        <f t="shared" ref="B21:U21" si="17">SUM(B16:B20)</f>
        <v>68229</v>
      </c>
      <c r="C21" s="157">
        <f t="shared" si="17"/>
        <v>74311</v>
      </c>
      <c r="D21" s="159">
        <f t="shared" si="17"/>
        <v>0</v>
      </c>
      <c r="E21" s="162">
        <f t="shared" si="17"/>
        <v>142540</v>
      </c>
      <c r="F21" s="209">
        <f t="shared" si="17"/>
        <v>0</v>
      </c>
      <c r="G21" s="157">
        <f t="shared" si="17"/>
        <v>16530</v>
      </c>
      <c r="H21" s="157">
        <f t="shared" si="17"/>
        <v>46170</v>
      </c>
      <c r="I21" s="157">
        <f t="shared" si="17"/>
        <v>624670</v>
      </c>
      <c r="J21" s="157">
        <f t="shared" si="17"/>
        <v>57</v>
      </c>
      <c r="K21" s="157">
        <f t="shared" si="17"/>
        <v>19</v>
      </c>
      <c r="L21" s="157">
        <f t="shared" si="17"/>
        <v>0</v>
      </c>
      <c r="M21" s="124">
        <f t="shared" si="17"/>
        <v>687446</v>
      </c>
      <c r="N21" s="160">
        <f t="shared" si="17"/>
        <v>0</v>
      </c>
      <c r="O21" s="162">
        <f t="shared" si="17"/>
        <v>0</v>
      </c>
      <c r="P21" s="209">
        <f t="shared" si="17"/>
        <v>0</v>
      </c>
      <c r="Q21" s="157">
        <f>SUM(Q16:Q20)</f>
        <v>0</v>
      </c>
      <c r="R21" s="159">
        <f t="shared" si="17"/>
        <v>0</v>
      </c>
      <c r="S21" s="160">
        <f t="shared" si="17"/>
        <v>0</v>
      </c>
      <c r="T21" s="159">
        <f>SUM(T16:T20)</f>
        <v>0</v>
      </c>
      <c r="U21" s="157">
        <f t="shared" si="17"/>
        <v>0</v>
      </c>
      <c r="V21" s="161">
        <f>IF(SUM(V16:V20)&gt;0,AVERAGEIF(V16:V20,"&lt;&gt;0"),0)</f>
        <v>0</v>
      </c>
      <c r="W21" s="157">
        <f>SUM(W16:W20)</f>
        <v>0</v>
      </c>
      <c r="X21" s="157">
        <f>SUM(X16:X20)</f>
        <v>0</v>
      </c>
      <c r="Y21" s="157">
        <f>SUM(Y16:Y20)</f>
        <v>0</v>
      </c>
      <c r="Z21" s="159">
        <f>SUM(Z16:Z20)</f>
        <v>0</v>
      </c>
      <c r="AA21" s="161">
        <f>IF(SUM(AA16:AA20),AVERAGEIF(AA16:AA20,"&lt;&gt;0"),0)</f>
        <v>0</v>
      </c>
      <c r="AB21" s="160">
        <f>SUM(AB16:AB20)</f>
        <v>0</v>
      </c>
      <c r="AC21" s="157">
        <f>SUM(AC16:AC20)</f>
        <v>0</v>
      </c>
      <c r="AD21" s="157">
        <f>SUM(AD16:AD20)</f>
        <v>0</v>
      </c>
      <c r="AE21" s="162">
        <f>SUM(AE16:AE20)</f>
        <v>0</v>
      </c>
    </row>
    <row r="22" spans="1:31" ht="15" customHeight="1" x14ac:dyDescent="0.25">
      <c r="A22" s="30" t="s">
        <v>19</v>
      </c>
      <c r="B22" s="219">
        <f>ROUNDDOWN(SUM('WK1:WK5'!F22)/MAX(1,INDEX(FREQUENCY('WK1:WK5'!F22,0),2)),0)</f>
        <v>7420</v>
      </c>
      <c r="C22" s="217">
        <f>ROUNDDOWN(SUM('WK1:WK5'!G22)/MAX(1,INDEX(FREQUENCY('WK1:WK5'!G22,0),2)),0)</f>
        <v>18575</v>
      </c>
      <c r="D22" s="220">
        <f>ROUNDDOWN(SUM('WK1:WK5'!H22)/MAX(1,INDEX(FREQUENCY('WK1:WK5'!H22,0),2)),0)</f>
        <v>0</v>
      </c>
      <c r="E22" s="230">
        <f>SUM(B22:D22)</f>
        <v>25995</v>
      </c>
      <c r="F22" s="223">
        <f>SUM('WK1:WK5'!J22)</f>
        <v>0</v>
      </c>
      <c r="G22" s="216">
        <f>SUM('WK1:WK5'!K22)</f>
        <v>6000</v>
      </c>
      <c r="H22" s="216">
        <f>SUM('WK1:WK5'!L22)</f>
        <v>3950</v>
      </c>
      <c r="I22" s="216">
        <f>SUM('WK1:WK5'!M22)</f>
        <v>122360</v>
      </c>
      <c r="J22" s="216">
        <f>SUM('WK1:WK5'!N22)</f>
        <v>0</v>
      </c>
      <c r="K22" s="216">
        <f>SUM('WK1:WK5'!O22)</f>
        <v>0</v>
      </c>
      <c r="L22" s="216">
        <f>SUM('WK1:WK5'!P22)</f>
        <v>0</v>
      </c>
      <c r="M22" s="207">
        <f>SUM(F22:L22)</f>
        <v>132310</v>
      </c>
      <c r="N22" s="222">
        <f>SUM('WK1:WK5'!R22)</f>
        <v>0</v>
      </c>
      <c r="O22" s="218">
        <f>SUM('WK1:WK5'!S22)</f>
        <v>0</v>
      </c>
      <c r="P22" s="223">
        <f>SUM('WK1:WK5'!T22)</f>
        <v>0</v>
      </c>
      <c r="Q22" s="216">
        <f>SUM('WK1:WK5'!U22)</f>
        <v>0</v>
      </c>
      <c r="R22" s="221">
        <f>SUM('WK1:WK5'!V22)</f>
        <v>0</v>
      </c>
      <c r="S22" s="222">
        <f>SUM('WK1:WK5'!W22)</f>
        <v>0</v>
      </c>
      <c r="T22" s="216">
        <f>SUM('WK1:WK5'!X22)</f>
        <v>0</v>
      </c>
      <c r="U22" s="216">
        <f>SUM('WK1:WK5'!Y22)</f>
        <v>0</v>
      </c>
      <c r="V22" s="192">
        <f>SUM(S22:U22)</f>
        <v>0</v>
      </c>
      <c r="W22" s="216">
        <f>SUM('WK1:WK5'!AA22)</f>
        <v>0</v>
      </c>
      <c r="X22" s="216">
        <f>SUM('WK1:WK5'!AB22)</f>
        <v>0</v>
      </c>
      <c r="Y22" s="216">
        <f>SUM('WK1:WK5'!AC22)</f>
        <v>0</v>
      </c>
      <c r="Z22" s="216">
        <f>SUM('WK1:WK5'!AD22)</f>
        <v>0</v>
      </c>
      <c r="AA22" s="192" t="str">
        <f>IF(SUM(W22:Z22)&gt;0,AVERAGEIF(W22:Z22,"&lt;&gt;0"),"-")</f>
        <v>-</v>
      </c>
      <c r="AB22" s="216">
        <f>SUM('WK1:WK5'!AF22)</f>
        <v>0</v>
      </c>
      <c r="AC22" s="216">
        <f>SUM('WK1:WK5'!AG22)</f>
        <v>0</v>
      </c>
      <c r="AD22" s="216">
        <f>SUM('WK1:WK5'!AH22)</f>
        <v>0</v>
      </c>
      <c r="AE22" s="123">
        <f>SUM(AB22:AD22)</f>
        <v>0</v>
      </c>
    </row>
    <row r="23" spans="1:31" x14ac:dyDescent="0.25">
      <c r="A23" s="30" t="s">
        <v>20</v>
      </c>
      <c r="B23" s="219">
        <f>ROUNDDOWN(SUM('WK1:WK5'!F23)/MAX(1,INDEX(FREQUENCY('WK1:WK5'!F23,0),2)),0)</f>
        <v>0</v>
      </c>
      <c r="C23" s="217">
        <f>ROUNDDOWN(SUM('WK1:WK5'!G23)/MAX(1,INDEX(FREQUENCY('WK1:WK5'!G23,0),2)),0)</f>
        <v>0</v>
      </c>
      <c r="D23" s="220">
        <f>ROUNDDOWN(SUM('WK1:WK5'!H23)/MAX(1,INDEX(FREQUENCY('WK1:WK5'!H23,0),2)),0)</f>
        <v>0</v>
      </c>
      <c r="E23" s="230">
        <f t="shared" ref="E23:E25" si="18">SUM(B23:D23)</f>
        <v>0</v>
      </c>
      <c r="F23" s="223">
        <f>SUM('WK1:WK5'!J23)</f>
        <v>0</v>
      </c>
      <c r="G23" s="216">
        <f>SUM('WK1:WK5'!K23)</f>
        <v>0</v>
      </c>
      <c r="H23" s="216">
        <f>SUM('WK1:WK5'!L23)</f>
        <v>0</v>
      </c>
      <c r="I23" s="216">
        <f>SUM('WK1:WK5'!M23)</f>
        <v>0</v>
      </c>
      <c r="J23" s="216">
        <f>SUM('WK1:WK5'!N23)</f>
        <v>0</v>
      </c>
      <c r="K23" s="216">
        <f>SUM('WK1:WK5'!O23)</f>
        <v>0</v>
      </c>
      <c r="L23" s="216">
        <f>SUM('WK1:WK5'!P23)</f>
        <v>0</v>
      </c>
      <c r="M23" s="207">
        <f t="shared" ref="M23:M25" si="19">SUM(F23:L23)</f>
        <v>0</v>
      </c>
      <c r="N23" s="222">
        <f>SUM('WK1:WK5'!R23)</f>
        <v>0</v>
      </c>
      <c r="O23" s="218">
        <f>SUM('WK1:WK5'!S23)</f>
        <v>0</v>
      </c>
      <c r="P23" s="223">
        <f>SUM('WK1:WK5'!T23)</f>
        <v>0</v>
      </c>
      <c r="Q23" s="216">
        <f>SUM('WK1:WK5'!U23)</f>
        <v>0</v>
      </c>
      <c r="R23" s="221">
        <f>SUM('WK1:WK5'!V23)</f>
        <v>0</v>
      </c>
      <c r="S23" s="222">
        <f>SUM('WK1:WK5'!W23)</f>
        <v>0</v>
      </c>
      <c r="T23" s="216">
        <f>SUM('WK1:WK5'!X23)</f>
        <v>0</v>
      </c>
      <c r="U23" s="216">
        <f>SUM('WK1:WK5'!Y23)</f>
        <v>0</v>
      </c>
      <c r="V23" s="192">
        <f t="shared" ref="V23:V25" si="20">SUM(S23:U23)</f>
        <v>0</v>
      </c>
      <c r="W23" s="216">
        <f>SUM('WK1:WK5'!AA23)</f>
        <v>0</v>
      </c>
      <c r="X23" s="216">
        <f>SUM('WK1:WK5'!AB23)</f>
        <v>0</v>
      </c>
      <c r="Y23" s="216">
        <f>SUM('WK1:WK5'!AC23)</f>
        <v>0</v>
      </c>
      <c r="Z23" s="216">
        <f>SUM('WK1:WK5'!AD23)</f>
        <v>0</v>
      </c>
      <c r="AA23" s="192" t="str">
        <f t="shared" ref="AA23:AA25" si="21">IF(SUM(W23:Z23)&gt;0,AVERAGEIF(W23:Z23,"&lt;&gt;0"),"-")</f>
        <v>-</v>
      </c>
      <c r="AB23" s="216">
        <f>SUM('WK1:WK5'!AF23)</f>
        <v>0</v>
      </c>
      <c r="AC23" s="216">
        <f>SUM('WK1:WK5'!AG23)</f>
        <v>0</v>
      </c>
      <c r="AD23" s="216">
        <f>SUM('WK1:WK5'!AH23)</f>
        <v>0</v>
      </c>
      <c r="AE23" s="123">
        <f t="shared" ref="AE23:AE25" si="22">SUM(AB23:AD23)</f>
        <v>0</v>
      </c>
    </row>
    <row r="24" spans="1:31" x14ac:dyDescent="0.25">
      <c r="A24" s="30" t="s">
        <v>21</v>
      </c>
      <c r="B24" s="219">
        <f>ROUNDDOWN(SUM('WK1:WK5'!F24)/MAX(1,INDEX(FREQUENCY('WK1:WK5'!F24,0),2)),0)</f>
        <v>20807</v>
      </c>
      <c r="C24" s="217">
        <f>ROUNDDOWN(SUM('WK1:WK5'!G24)/MAX(1,INDEX(FREQUENCY('WK1:WK5'!G24,0),2)),0)</f>
        <v>19708</v>
      </c>
      <c r="D24" s="220">
        <f>ROUNDDOWN(SUM('WK1:WK5'!H24)/MAX(1,INDEX(FREQUENCY('WK1:WK5'!H24,0),2)),0)</f>
        <v>0</v>
      </c>
      <c r="E24" s="230">
        <f t="shared" si="18"/>
        <v>40515</v>
      </c>
      <c r="F24" s="223">
        <f>SUM('WK1:WK5'!J24)</f>
        <v>0</v>
      </c>
      <c r="G24" s="216">
        <f>SUM('WK1:WK5'!K24)</f>
        <v>16240</v>
      </c>
      <c r="H24" s="216">
        <f>SUM('WK1:WK5'!L24)</f>
        <v>22250</v>
      </c>
      <c r="I24" s="216">
        <f>SUM('WK1:WK5'!M24)</f>
        <v>233155</v>
      </c>
      <c r="J24" s="216">
        <f>SUM('WK1:WK5'!N24)</f>
        <v>5</v>
      </c>
      <c r="K24" s="216">
        <f>SUM('WK1:WK5'!O24)</f>
        <v>2</v>
      </c>
      <c r="L24" s="216">
        <f>SUM('WK1:WK5'!P24)</f>
        <v>0</v>
      </c>
      <c r="M24" s="207">
        <f t="shared" si="19"/>
        <v>271652</v>
      </c>
      <c r="N24" s="222">
        <f>SUM('WK1:WK5'!R24)</f>
        <v>0</v>
      </c>
      <c r="O24" s="218">
        <f>SUM('WK1:WK5'!S24)</f>
        <v>0</v>
      </c>
      <c r="P24" s="223">
        <f>SUM('WK1:WK5'!T24)</f>
        <v>0</v>
      </c>
      <c r="Q24" s="216">
        <f>SUM('WK1:WK5'!U24)</f>
        <v>0</v>
      </c>
      <c r="R24" s="221">
        <f>SUM('WK1:WK5'!V24)</f>
        <v>0</v>
      </c>
      <c r="S24" s="222">
        <f>SUM('WK1:WK5'!W24)</f>
        <v>0</v>
      </c>
      <c r="T24" s="216">
        <f>SUM('WK1:WK5'!X24)</f>
        <v>0</v>
      </c>
      <c r="U24" s="216">
        <f>SUM('WK1:WK5'!Y24)</f>
        <v>0</v>
      </c>
      <c r="V24" s="192">
        <f t="shared" si="20"/>
        <v>0</v>
      </c>
      <c r="W24" s="216">
        <f>SUM('WK1:WK5'!AA24)</f>
        <v>0</v>
      </c>
      <c r="X24" s="216">
        <f>SUM('WK1:WK5'!AB24)</f>
        <v>0</v>
      </c>
      <c r="Y24" s="216">
        <f>SUM('WK1:WK5'!AC24)</f>
        <v>0</v>
      </c>
      <c r="Z24" s="216">
        <f>SUM('WK1:WK5'!AD24)</f>
        <v>0</v>
      </c>
      <c r="AA24" s="192" t="str">
        <f t="shared" si="21"/>
        <v>-</v>
      </c>
      <c r="AB24" s="216">
        <f>SUM('WK1:WK5'!AF24)</f>
        <v>0</v>
      </c>
      <c r="AC24" s="216">
        <f>SUM('WK1:WK5'!AG24)</f>
        <v>0</v>
      </c>
      <c r="AD24" s="216">
        <f>SUM('WK1:WK5'!AH24)</f>
        <v>0</v>
      </c>
      <c r="AE24" s="123">
        <f t="shared" si="22"/>
        <v>0</v>
      </c>
    </row>
    <row r="25" spans="1:31" x14ac:dyDescent="0.25">
      <c r="A25" s="30" t="s">
        <v>109</v>
      </c>
      <c r="B25" s="219">
        <f>ROUNDDOWN(SUM('WK1:WK5'!F25)/MAX(1,INDEX(FREQUENCY('WK1:WK5'!F25,0),2)),0)</f>
        <v>2635</v>
      </c>
      <c r="C25" s="217">
        <f>ROUNDDOWN(SUM('WK1:WK5'!G25)/MAX(1,INDEX(FREQUENCY('WK1:WK5'!G25,0),2)),0)</f>
        <v>7100</v>
      </c>
      <c r="D25" s="220">
        <f>ROUNDDOWN(SUM('WK1:WK5'!H25)/MAX(1,INDEX(FREQUENCY('WK1:WK5'!H25,0),2)),0)</f>
        <v>0</v>
      </c>
      <c r="E25" s="230">
        <f t="shared" si="18"/>
        <v>9735</v>
      </c>
      <c r="F25" s="223">
        <f>SUM('WK1:WK5'!J25)</f>
        <v>0</v>
      </c>
      <c r="G25" s="216">
        <f>SUM('WK1:WK5'!K25)</f>
        <v>0</v>
      </c>
      <c r="H25" s="216">
        <f>SUM('WK1:WK5'!L25)</f>
        <v>0</v>
      </c>
      <c r="I25" s="216">
        <f>SUM('WK1:WK5'!M25)</f>
        <v>38940</v>
      </c>
      <c r="J25" s="216">
        <f>SUM('WK1:WK5'!N25)</f>
        <v>3</v>
      </c>
      <c r="K25" s="216">
        <f>SUM('WK1:WK5'!O25)</f>
        <v>3</v>
      </c>
      <c r="L25" s="216">
        <f>SUM('WK1:WK5'!P25)</f>
        <v>0</v>
      </c>
      <c r="M25" s="207">
        <f t="shared" si="19"/>
        <v>38946</v>
      </c>
      <c r="N25" s="222">
        <f>SUM('WK1:WK5'!R25)</f>
        <v>0</v>
      </c>
      <c r="O25" s="218">
        <f>SUM('WK1:WK5'!S25)</f>
        <v>0</v>
      </c>
      <c r="P25" s="223">
        <f>SUM('WK1:WK5'!T25)</f>
        <v>0</v>
      </c>
      <c r="Q25" s="216">
        <f>SUM('WK1:WK5'!U25)</f>
        <v>0</v>
      </c>
      <c r="R25" s="221">
        <f>SUM('WK1:WK5'!V25)</f>
        <v>0</v>
      </c>
      <c r="S25" s="222">
        <f>SUM('WK1:WK5'!W25)</f>
        <v>0</v>
      </c>
      <c r="T25" s="216">
        <f>SUM('WK1:WK5'!X25)</f>
        <v>0</v>
      </c>
      <c r="U25" s="216">
        <f>SUM('WK1:WK5'!Y25)</f>
        <v>0</v>
      </c>
      <c r="V25" s="192">
        <f t="shared" si="20"/>
        <v>0</v>
      </c>
      <c r="W25" s="216">
        <f>SUM('WK1:WK5'!AA25)</f>
        <v>0</v>
      </c>
      <c r="X25" s="216">
        <f>SUM('WK1:WK5'!AB25)</f>
        <v>0</v>
      </c>
      <c r="Y25" s="216">
        <f>SUM('WK1:WK5'!AC25)</f>
        <v>0</v>
      </c>
      <c r="Z25" s="216">
        <f>SUM('WK1:WK5'!AD25)</f>
        <v>0</v>
      </c>
      <c r="AA25" s="192" t="str">
        <f t="shared" si="21"/>
        <v>-</v>
      </c>
      <c r="AB25" s="216">
        <f>SUM('WK1:WK5'!AF25)</f>
        <v>0</v>
      </c>
      <c r="AC25" s="216">
        <f>SUM('WK1:WK5'!AG25)</f>
        <v>0</v>
      </c>
      <c r="AD25" s="216">
        <f>SUM('WK1:WK5'!AH25)</f>
        <v>0</v>
      </c>
      <c r="AE25" s="123">
        <f t="shared" si="22"/>
        <v>0</v>
      </c>
    </row>
    <row r="26" spans="1:31" x14ac:dyDescent="0.25">
      <c r="A26" s="236"/>
      <c r="B26" s="160">
        <f t="shared" ref="B26:U26" si="23">SUM(B22:B25)</f>
        <v>30862</v>
      </c>
      <c r="C26" s="157">
        <f t="shared" si="23"/>
        <v>45383</v>
      </c>
      <c r="D26" s="157">
        <f t="shared" si="23"/>
        <v>0</v>
      </c>
      <c r="E26" s="162">
        <f t="shared" si="23"/>
        <v>76245</v>
      </c>
      <c r="F26" s="209">
        <f t="shared" si="23"/>
        <v>0</v>
      </c>
      <c r="G26" s="157">
        <f t="shared" si="23"/>
        <v>22240</v>
      </c>
      <c r="H26" s="157">
        <f t="shared" si="23"/>
        <v>26200</v>
      </c>
      <c r="I26" s="157">
        <f t="shared" si="23"/>
        <v>394455</v>
      </c>
      <c r="J26" s="157">
        <f t="shared" si="23"/>
        <v>8</v>
      </c>
      <c r="K26" s="157">
        <f t="shared" si="23"/>
        <v>5</v>
      </c>
      <c r="L26" s="157">
        <f t="shared" si="23"/>
        <v>0</v>
      </c>
      <c r="M26" s="124">
        <f t="shared" si="23"/>
        <v>442908</v>
      </c>
      <c r="N26" s="160">
        <f t="shared" si="23"/>
        <v>0</v>
      </c>
      <c r="O26" s="162">
        <f t="shared" si="23"/>
        <v>0</v>
      </c>
      <c r="P26" s="209">
        <f t="shared" si="23"/>
        <v>0</v>
      </c>
      <c r="Q26" s="157">
        <f>SUM(Q22:Q25)</f>
        <v>0</v>
      </c>
      <c r="R26" s="159">
        <f t="shared" si="23"/>
        <v>0</v>
      </c>
      <c r="S26" s="160">
        <f t="shared" si="23"/>
        <v>0</v>
      </c>
      <c r="T26" s="159">
        <f>SUM(T22:T25)</f>
        <v>0</v>
      </c>
      <c r="U26" s="157">
        <f t="shared" si="23"/>
        <v>0</v>
      </c>
      <c r="V26" s="161">
        <f>IF(SUM(V22:V25)&gt;0,AVERAGEIF(V22:V25,"&lt;&gt;0"),0)</f>
        <v>0</v>
      </c>
      <c r="W26" s="157">
        <f>SUM(W22:W25)</f>
        <v>0</v>
      </c>
      <c r="X26" s="157">
        <f>SUM(X22:X25)</f>
        <v>0</v>
      </c>
      <c r="Y26" s="157">
        <f>SUM(Y22:Y25)</f>
        <v>0</v>
      </c>
      <c r="Z26" s="159">
        <f>SUM(Z22:Z25)</f>
        <v>0</v>
      </c>
      <c r="AA26" s="161">
        <f>IF(SUM(AA22:AA25),AVERAGEIF(AA22:AA25,"&lt;&gt;0"),0)</f>
        <v>0</v>
      </c>
      <c r="AB26" s="160">
        <f>SUM(AB22:AB25)</f>
        <v>0</v>
      </c>
      <c r="AC26" s="157">
        <f>SUM(AC22:AC25)</f>
        <v>0</v>
      </c>
      <c r="AD26" s="157">
        <f>SUM(AD22:AD25)</f>
        <v>0</v>
      </c>
      <c r="AE26" s="162">
        <f>SUM(AE22:AE25)</f>
        <v>0</v>
      </c>
    </row>
    <row r="27" spans="1:31" ht="15" customHeight="1" x14ac:dyDescent="0.25">
      <c r="A27" s="30" t="s">
        <v>108</v>
      </c>
      <c r="B27" s="219">
        <f>ROUNDDOWN(SUM('WK1:WK5'!F27)/MAX(1,INDEX(FREQUENCY('WK1:WK5'!F27,0),2)),0)</f>
        <v>8467</v>
      </c>
      <c r="C27" s="217">
        <f>ROUNDDOWN(SUM('WK1:WK5'!G27)/MAX(1,INDEX(FREQUENCY('WK1:WK5'!G27,0),2)),0)</f>
        <v>6150</v>
      </c>
      <c r="D27" s="220">
        <f>ROUNDDOWN(SUM('WK1:WK5'!H27)/MAX(1,INDEX(FREQUENCY('WK1:WK5'!H27,0),2)),0)</f>
        <v>0</v>
      </c>
      <c r="E27" s="230">
        <f>SUM(B27:D27)</f>
        <v>14617</v>
      </c>
      <c r="F27" s="223">
        <f>SUM('WK1:WK5'!J27)</f>
        <v>0</v>
      </c>
      <c r="G27" s="216">
        <f>SUM('WK1:WK5'!K27)</f>
        <v>2440</v>
      </c>
      <c r="H27" s="216">
        <f>SUM('WK1:WK5'!L27)</f>
        <v>4670</v>
      </c>
      <c r="I27" s="216">
        <f>SUM('WK1:WK5'!M27)</f>
        <v>68540</v>
      </c>
      <c r="J27" s="216">
        <f>SUM('WK1:WK5'!N27)</f>
        <v>8</v>
      </c>
      <c r="K27" s="216">
        <f>SUM('WK1:WK5'!O27)</f>
        <v>12</v>
      </c>
      <c r="L27" s="216">
        <f>SUM('WK1:WK5'!P27)</f>
        <v>0</v>
      </c>
      <c r="M27" s="207">
        <f>SUM(F27:L27)</f>
        <v>75670</v>
      </c>
      <c r="N27" s="222">
        <f>SUM('WK1:WK5'!R27)</f>
        <v>0</v>
      </c>
      <c r="O27" s="218">
        <f>SUM('WK1:WK5'!S27)</f>
        <v>0</v>
      </c>
      <c r="P27" s="223">
        <f>SUM('WK1:WK5'!T27)</f>
        <v>0</v>
      </c>
      <c r="Q27" s="216">
        <f>SUM('WK1:WK5'!U27)</f>
        <v>0</v>
      </c>
      <c r="R27" s="221">
        <f>SUM('WK1:WK5'!V27)</f>
        <v>0</v>
      </c>
      <c r="S27" s="222">
        <f>SUM('WK1:WK5'!W27)</f>
        <v>0</v>
      </c>
      <c r="T27" s="216">
        <f>SUM('WK1:WK5'!X27)</f>
        <v>0</v>
      </c>
      <c r="U27" s="216">
        <f>SUM('WK1:WK5'!Y27)</f>
        <v>0</v>
      </c>
      <c r="V27" s="192">
        <f>SUM(S27:U27)</f>
        <v>0</v>
      </c>
      <c r="W27" s="216">
        <f>SUM('WK1:WK5'!AA27)</f>
        <v>0</v>
      </c>
      <c r="X27" s="216">
        <f>SUM('WK1:WK5'!AB27)</f>
        <v>0</v>
      </c>
      <c r="Y27" s="216">
        <f>SUM('WK1:WK5'!AC27)</f>
        <v>0</v>
      </c>
      <c r="Z27" s="216">
        <f>SUM('WK1:WK5'!AD27)</f>
        <v>0</v>
      </c>
      <c r="AA27" s="192" t="str">
        <f>IF(SUM(W27:Z27)&gt;0,AVERAGEIF(W27:Z27,"&lt;&gt;0"),"-")</f>
        <v>-</v>
      </c>
      <c r="AB27" s="216">
        <f>SUM('WK1:WK5'!AF27)</f>
        <v>0</v>
      </c>
      <c r="AC27" s="216">
        <f>SUM('WK1:WK5'!AG27)</f>
        <v>0</v>
      </c>
      <c r="AD27" s="216">
        <f>SUM('WK1:WK5'!AH27)</f>
        <v>0</v>
      </c>
      <c r="AE27" s="123">
        <f>SUM(AB27:AD27)</f>
        <v>0</v>
      </c>
    </row>
    <row r="28" spans="1:31" x14ac:dyDescent="0.25">
      <c r="A28" s="30" t="s">
        <v>22</v>
      </c>
      <c r="B28" s="219">
        <f>ROUNDDOWN(SUM('WK1:WK5'!F28)/MAX(1,INDEX(FREQUENCY('WK1:WK5'!F28,0),2)),0)</f>
        <v>1387</v>
      </c>
      <c r="C28" s="217">
        <f>ROUNDDOWN(SUM('WK1:WK5'!G28)/MAX(1,INDEX(FREQUENCY('WK1:WK5'!G28,0),2)),0)</f>
        <v>2695</v>
      </c>
      <c r="D28" s="220">
        <f>ROUNDDOWN(SUM('WK1:WK5'!H28)/MAX(1,INDEX(FREQUENCY('WK1:WK5'!H28,0),2)),0)</f>
        <v>0</v>
      </c>
      <c r="E28" s="230">
        <f t="shared" ref="E28:E35" si="24">SUM(B28:D28)</f>
        <v>4082</v>
      </c>
      <c r="F28" s="223">
        <f>SUM('WK1:WK5'!J28)</f>
        <v>0</v>
      </c>
      <c r="G28" s="216">
        <f>SUM('WK1:WK5'!K28)</f>
        <v>0</v>
      </c>
      <c r="H28" s="216">
        <f>SUM('WK1:WK5'!L28)</f>
        <v>0</v>
      </c>
      <c r="I28" s="216">
        <f>SUM('WK1:WK5'!M28)</f>
        <v>16330</v>
      </c>
      <c r="J28" s="216">
        <f>SUM('WK1:WK5'!N28)</f>
        <v>8</v>
      </c>
      <c r="K28" s="216">
        <f>SUM('WK1:WK5'!O28)</f>
        <v>0</v>
      </c>
      <c r="L28" s="216">
        <f>SUM('WK1:WK5'!P28)</f>
        <v>0</v>
      </c>
      <c r="M28" s="207">
        <f t="shared" ref="M28:M35" si="25">SUM(F28:L28)</f>
        <v>16338</v>
      </c>
      <c r="N28" s="222">
        <f>SUM('WK1:WK5'!R28)</f>
        <v>0</v>
      </c>
      <c r="O28" s="218">
        <f>SUM('WK1:WK5'!S28)</f>
        <v>0</v>
      </c>
      <c r="P28" s="223">
        <f>SUM('WK1:WK5'!T28)</f>
        <v>0</v>
      </c>
      <c r="Q28" s="216">
        <f>SUM('WK1:WK5'!U28)</f>
        <v>0</v>
      </c>
      <c r="R28" s="221">
        <f>SUM('WK1:WK5'!V28)</f>
        <v>0</v>
      </c>
      <c r="S28" s="222">
        <f>SUM('WK1:WK5'!W28)</f>
        <v>0</v>
      </c>
      <c r="T28" s="216">
        <f>SUM('WK1:WK5'!X28)</f>
        <v>0</v>
      </c>
      <c r="U28" s="216">
        <f>SUM('WK1:WK5'!Y28)</f>
        <v>0</v>
      </c>
      <c r="V28" s="192">
        <f t="shared" ref="V28:V35" si="26">SUM(S28:U28)</f>
        <v>0</v>
      </c>
      <c r="W28" s="216">
        <f>SUM('WK1:WK5'!AA28)</f>
        <v>0</v>
      </c>
      <c r="X28" s="216">
        <f>SUM('WK1:WK5'!AB28)</f>
        <v>0</v>
      </c>
      <c r="Y28" s="216">
        <f>SUM('WK1:WK5'!AC28)</f>
        <v>0</v>
      </c>
      <c r="Z28" s="216">
        <f>SUM('WK1:WK5'!AD28)</f>
        <v>0</v>
      </c>
      <c r="AA28" s="192" t="str">
        <f t="shared" ref="AA28:AA35" si="27">IF(SUM(W28:Z28)&gt;0,AVERAGEIF(W28:Z28,"&lt;&gt;0"),"-")</f>
        <v>-</v>
      </c>
      <c r="AB28" s="216">
        <f>SUM('WK1:WK5'!AF28)</f>
        <v>0</v>
      </c>
      <c r="AC28" s="216">
        <f>SUM('WK1:WK5'!AG28)</f>
        <v>0</v>
      </c>
      <c r="AD28" s="216">
        <f>SUM('WK1:WK5'!AH28)</f>
        <v>0</v>
      </c>
      <c r="AE28" s="123">
        <f t="shared" ref="AE28:AE35" si="28">SUM(AB28:AD28)</f>
        <v>0</v>
      </c>
    </row>
    <row r="29" spans="1:31" x14ac:dyDescent="0.25">
      <c r="A29" s="30" t="s">
        <v>23</v>
      </c>
      <c r="B29" s="219">
        <f>ROUNDDOWN(SUM('WK1:WK5'!F29)/MAX(1,INDEX(FREQUENCY('WK1:WK5'!F29,0),2)),0)</f>
        <v>10167</v>
      </c>
      <c r="C29" s="217">
        <f>ROUNDDOWN(SUM('WK1:WK5'!G29)/MAX(1,INDEX(FREQUENCY('WK1:WK5'!G29,0),2)),0)</f>
        <v>6600</v>
      </c>
      <c r="D29" s="220">
        <f>ROUNDDOWN(SUM('WK1:WK5'!H29)/MAX(1,INDEX(FREQUENCY('WK1:WK5'!H29,0),2)),0)</f>
        <v>0</v>
      </c>
      <c r="E29" s="230">
        <f t="shared" si="24"/>
        <v>16767</v>
      </c>
      <c r="F29" s="223">
        <f>SUM('WK1:WK5'!J29)</f>
        <v>0</v>
      </c>
      <c r="G29" s="216">
        <f>SUM('WK1:WK5'!K29)</f>
        <v>1650</v>
      </c>
      <c r="H29" s="216">
        <f>SUM('WK1:WK5'!L29)</f>
        <v>3850</v>
      </c>
      <c r="I29" s="216">
        <f>SUM('WK1:WK5'!M29)</f>
        <v>75770</v>
      </c>
      <c r="J29" s="216">
        <f>SUM('WK1:WK5'!N29)</f>
        <v>11</v>
      </c>
      <c r="K29" s="216">
        <f>SUM('WK1:WK5'!O29)</f>
        <v>10</v>
      </c>
      <c r="L29" s="216">
        <f>SUM('WK1:WK5'!P29)</f>
        <v>0</v>
      </c>
      <c r="M29" s="207">
        <f t="shared" si="25"/>
        <v>81291</v>
      </c>
      <c r="N29" s="222">
        <f>SUM('WK1:WK5'!R29)</f>
        <v>0</v>
      </c>
      <c r="O29" s="218">
        <f>SUM('WK1:WK5'!S29)</f>
        <v>0</v>
      </c>
      <c r="P29" s="223">
        <f>SUM('WK1:WK5'!T29)</f>
        <v>0</v>
      </c>
      <c r="Q29" s="216">
        <f>SUM('WK1:WK5'!U29)</f>
        <v>0</v>
      </c>
      <c r="R29" s="221">
        <f>SUM('WK1:WK5'!V29)</f>
        <v>0</v>
      </c>
      <c r="S29" s="222">
        <f>SUM('WK1:WK5'!W29)</f>
        <v>0</v>
      </c>
      <c r="T29" s="216">
        <f>SUM('WK1:WK5'!X29)</f>
        <v>0</v>
      </c>
      <c r="U29" s="216">
        <f>SUM('WK1:WK5'!Y29)</f>
        <v>0</v>
      </c>
      <c r="V29" s="192">
        <f t="shared" si="26"/>
        <v>0</v>
      </c>
      <c r="W29" s="216">
        <f>SUM('WK1:WK5'!AA29)</f>
        <v>0</v>
      </c>
      <c r="X29" s="216">
        <f>SUM('WK1:WK5'!AB29)</f>
        <v>0</v>
      </c>
      <c r="Y29" s="216">
        <f>SUM('WK1:WK5'!AC29)</f>
        <v>0</v>
      </c>
      <c r="Z29" s="216">
        <f>SUM('WK1:WK5'!AD29)</f>
        <v>0</v>
      </c>
      <c r="AA29" s="192" t="str">
        <f t="shared" si="27"/>
        <v>-</v>
      </c>
      <c r="AB29" s="216">
        <f>SUM('WK1:WK5'!AF29)</f>
        <v>0</v>
      </c>
      <c r="AC29" s="216">
        <f>SUM('WK1:WK5'!AG29)</f>
        <v>0</v>
      </c>
      <c r="AD29" s="216">
        <f>SUM('WK1:WK5'!AH29)</f>
        <v>0</v>
      </c>
      <c r="AE29" s="123">
        <f t="shared" si="28"/>
        <v>0</v>
      </c>
    </row>
    <row r="30" spans="1:31" x14ac:dyDescent="0.25">
      <c r="A30" s="30" t="s">
        <v>24</v>
      </c>
      <c r="B30" s="219">
        <f>ROUNDDOWN(SUM('WK1:WK5'!F30)/MAX(1,INDEX(FREQUENCY('WK1:WK5'!F30,0),2)),0)</f>
        <v>4390</v>
      </c>
      <c r="C30" s="217">
        <f>ROUNDDOWN(SUM('WK1:WK5'!G30)/MAX(1,INDEX(FREQUENCY('WK1:WK5'!G30,0),2)),0)</f>
        <v>4200</v>
      </c>
      <c r="D30" s="220">
        <f>ROUNDDOWN(SUM('WK1:WK5'!H30)/MAX(1,INDEX(FREQUENCY('WK1:WK5'!H30,0),2)),0)</f>
        <v>0</v>
      </c>
      <c r="E30" s="230">
        <f t="shared" si="24"/>
        <v>8590</v>
      </c>
      <c r="F30" s="223">
        <f>SUM('WK1:WK5'!J30)</f>
        <v>0</v>
      </c>
      <c r="G30" s="216">
        <f>SUM('WK1:WK5'!K30)</f>
        <v>700</v>
      </c>
      <c r="H30" s="216">
        <f>SUM('WK1:WK5'!L30)</f>
        <v>0</v>
      </c>
      <c r="I30" s="216">
        <f>SUM('WK1:WK5'!M30)</f>
        <v>18690</v>
      </c>
      <c r="J30" s="216">
        <f>SUM('WK1:WK5'!N30)</f>
        <v>10</v>
      </c>
      <c r="K30" s="216">
        <f>SUM('WK1:WK5'!O30)</f>
        <v>0</v>
      </c>
      <c r="L30" s="216">
        <f>SUM('WK1:WK5'!P30)</f>
        <v>0</v>
      </c>
      <c r="M30" s="207">
        <f t="shared" si="25"/>
        <v>19400</v>
      </c>
      <c r="N30" s="222">
        <f>SUM('WK1:WK5'!R30)</f>
        <v>0</v>
      </c>
      <c r="O30" s="218">
        <f>SUM('WK1:WK5'!S30)</f>
        <v>0</v>
      </c>
      <c r="P30" s="223">
        <f>SUM('WK1:WK5'!T30)</f>
        <v>0</v>
      </c>
      <c r="Q30" s="216">
        <f>SUM('WK1:WK5'!U30)</f>
        <v>0</v>
      </c>
      <c r="R30" s="221">
        <f>SUM('WK1:WK5'!V30)</f>
        <v>0</v>
      </c>
      <c r="S30" s="222">
        <f>SUM('WK1:WK5'!W30)</f>
        <v>0</v>
      </c>
      <c r="T30" s="216">
        <f>SUM('WK1:WK5'!X30)</f>
        <v>0</v>
      </c>
      <c r="U30" s="216">
        <f>SUM('WK1:WK5'!Y30)</f>
        <v>0</v>
      </c>
      <c r="V30" s="192">
        <f t="shared" si="26"/>
        <v>0</v>
      </c>
      <c r="W30" s="216">
        <f>SUM('WK1:WK5'!AA30)</f>
        <v>0</v>
      </c>
      <c r="X30" s="216">
        <f>SUM('WK1:WK5'!AB30)</f>
        <v>0</v>
      </c>
      <c r="Y30" s="216">
        <f>SUM('WK1:WK5'!AC30)</f>
        <v>0</v>
      </c>
      <c r="Z30" s="216">
        <f>SUM('WK1:WK5'!AD30)</f>
        <v>0</v>
      </c>
      <c r="AA30" s="192" t="str">
        <f t="shared" si="27"/>
        <v>-</v>
      </c>
      <c r="AB30" s="216">
        <f>SUM('WK1:WK5'!AF30)</f>
        <v>0</v>
      </c>
      <c r="AC30" s="216">
        <f>SUM('WK1:WK5'!AG30)</f>
        <v>0</v>
      </c>
      <c r="AD30" s="216">
        <f>SUM('WK1:WK5'!AH30)</f>
        <v>0</v>
      </c>
      <c r="AE30" s="123">
        <f t="shared" si="28"/>
        <v>0</v>
      </c>
    </row>
    <row r="31" spans="1:31" x14ac:dyDescent="0.25">
      <c r="A31" s="30" t="s">
        <v>106</v>
      </c>
      <c r="B31" s="219">
        <f>ROUNDDOWN(SUM('WK1:WK5'!F31)/MAX(1,INDEX(FREQUENCY('WK1:WK5'!F31,0),2)),0)</f>
        <v>2895</v>
      </c>
      <c r="C31" s="217">
        <f>ROUNDDOWN(SUM('WK1:WK5'!G31)/MAX(1,INDEX(FREQUENCY('WK1:WK5'!G31,0),2)),0)</f>
        <v>400</v>
      </c>
      <c r="D31" s="220">
        <f>ROUNDDOWN(SUM('WK1:WK5'!H31)/MAX(1,INDEX(FREQUENCY('WK1:WK5'!H31,0),2)),0)</f>
        <v>0</v>
      </c>
      <c r="E31" s="230">
        <f t="shared" si="24"/>
        <v>3295</v>
      </c>
      <c r="F31" s="223">
        <f>SUM('WK1:WK5'!J31)</f>
        <v>0</v>
      </c>
      <c r="G31" s="216">
        <f>SUM('WK1:WK5'!K31)</f>
        <v>1220</v>
      </c>
      <c r="H31" s="216">
        <f>SUM('WK1:WK5'!L31)</f>
        <v>4150</v>
      </c>
      <c r="I31" s="216">
        <f>SUM('WK1:WK5'!M31)</f>
        <v>13550</v>
      </c>
      <c r="J31" s="216">
        <f>SUM('WK1:WK5'!N31)</f>
        <v>6</v>
      </c>
      <c r="K31" s="216">
        <f>SUM('WK1:WK5'!O31)</f>
        <v>2</v>
      </c>
      <c r="L31" s="216">
        <f>SUM('WK1:WK5'!P31)</f>
        <v>0</v>
      </c>
      <c r="M31" s="207">
        <f t="shared" si="25"/>
        <v>18928</v>
      </c>
      <c r="N31" s="222">
        <f>SUM('WK1:WK5'!R31)</f>
        <v>0</v>
      </c>
      <c r="O31" s="218">
        <f>SUM('WK1:WK5'!S31)</f>
        <v>0</v>
      </c>
      <c r="P31" s="223">
        <f>SUM('WK1:WK5'!T31)</f>
        <v>0</v>
      </c>
      <c r="Q31" s="216">
        <f>SUM('WK1:WK5'!U31)</f>
        <v>0</v>
      </c>
      <c r="R31" s="221">
        <f>SUM('WK1:WK5'!V31)</f>
        <v>0</v>
      </c>
      <c r="S31" s="222">
        <f>SUM('WK1:WK5'!W31)</f>
        <v>0</v>
      </c>
      <c r="T31" s="216">
        <f>SUM('WK1:WK5'!X31)</f>
        <v>0</v>
      </c>
      <c r="U31" s="216">
        <f>SUM('WK1:WK5'!Y31)</f>
        <v>0</v>
      </c>
      <c r="V31" s="192">
        <f t="shared" si="26"/>
        <v>0</v>
      </c>
      <c r="W31" s="216">
        <f>SUM('WK1:WK5'!AA31)</f>
        <v>0</v>
      </c>
      <c r="X31" s="216">
        <f>SUM('WK1:WK5'!AB31)</f>
        <v>0</v>
      </c>
      <c r="Y31" s="216">
        <f>SUM('WK1:WK5'!AC31)</f>
        <v>0</v>
      </c>
      <c r="Z31" s="216">
        <f>SUM('WK1:WK5'!AD31)</f>
        <v>0</v>
      </c>
      <c r="AA31" s="192" t="str">
        <f t="shared" si="27"/>
        <v>-</v>
      </c>
      <c r="AB31" s="216">
        <f>SUM('WK1:WK5'!AF31)</f>
        <v>0</v>
      </c>
      <c r="AC31" s="216">
        <f>SUM('WK1:WK5'!AG31)</f>
        <v>0</v>
      </c>
      <c r="AD31" s="216">
        <f>SUM('WK1:WK5'!AH31)</f>
        <v>0</v>
      </c>
      <c r="AE31" s="123">
        <f t="shared" si="28"/>
        <v>0</v>
      </c>
    </row>
    <row r="32" spans="1:31" x14ac:dyDescent="0.25">
      <c r="A32" s="30" t="s">
        <v>25</v>
      </c>
      <c r="B32" s="219">
        <f>ROUNDDOWN(SUM('WK1:WK5'!F32)/MAX(1,INDEX(FREQUENCY('WK1:WK5'!F32,0),2)),0)</f>
        <v>3635</v>
      </c>
      <c r="C32" s="217">
        <f>ROUNDDOWN(SUM('WK1:WK5'!G32)/MAX(1,INDEX(FREQUENCY('WK1:WK5'!G32,0),2)),0)</f>
        <v>7650</v>
      </c>
      <c r="D32" s="220">
        <f>ROUNDDOWN(SUM('WK1:WK5'!H32)/MAX(1,INDEX(FREQUENCY('WK1:WK5'!H32,0),2)),0)</f>
        <v>0</v>
      </c>
      <c r="E32" s="230">
        <f t="shared" si="24"/>
        <v>11285</v>
      </c>
      <c r="F32" s="223">
        <f>SUM('WK1:WK5'!J32)</f>
        <v>0</v>
      </c>
      <c r="G32" s="216">
        <f>SUM('WK1:WK5'!K32)</f>
        <v>0</v>
      </c>
      <c r="H32" s="216">
        <f>SUM('WK1:WK5'!L32)</f>
        <v>0</v>
      </c>
      <c r="I32" s="216">
        <f>SUM('WK1:WK5'!M32)</f>
        <v>45140</v>
      </c>
      <c r="J32" s="216">
        <f>SUM('WK1:WK5'!N32)</f>
        <v>15</v>
      </c>
      <c r="K32" s="216">
        <f>SUM('WK1:WK5'!O32)</f>
        <v>0</v>
      </c>
      <c r="L32" s="216">
        <f>SUM('WK1:WK5'!P32)</f>
        <v>0</v>
      </c>
      <c r="M32" s="207">
        <f t="shared" si="25"/>
        <v>45155</v>
      </c>
      <c r="N32" s="222">
        <f>SUM('WK1:WK5'!R32)</f>
        <v>0</v>
      </c>
      <c r="O32" s="218">
        <f>SUM('WK1:WK5'!S32)</f>
        <v>0</v>
      </c>
      <c r="P32" s="223">
        <f>SUM('WK1:WK5'!T32)</f>
        <v>0</v>
      </c>
      <c r="Q32" s="216">
        <f>SUM('WK1:WK5'!U32)</f>
        <v>0</v>
      </c>
      <c r="R32" s="221">
        <f>SUM('WK1:WK5'!V32)</f>
        <v>0</v>
      </c>
      <c r="S32" s="222">
        <f>SUM('WK1:WK5'!W32)</f>
        <v>0</v>
      </c>
      <c r="T32" s="216">
        <f>SUM('WK1:WK5'!X32)</f>
        <v>0</v>
      </c>
      <c r="U32" s="216">
        <f>SUM('WK1:WK5'!Y32)</f>
        <v>0</v>
      </c>
      <c r="V32" s="192">
        <f t="shared" si="26"/>
        <v>0</v>
      </c>
      <c r="W32" s="216">
        <f>SUM('WK1:WK5'!AA32)</f>
        <v>0</v>
      </c>
      <c r="X32" s="216">
        <f>SUM('WK1:WK5'!AB32)</f>
        <v>0</v>
      </c>
      <c r="Y32" s="216">
        <f>SUM('WK1:WK5'!AC32)</f>
        <v>0</v>
      </c>
      <c r="Z32" s="216">
        <f>SUM('WK1:WK5'!AD32)</f>
        <v>0</v>
      </c>
      <c r="AA32" s="192" t="str">
        <f t="shared" si="27"/>
        <v>-</v>
      </c>
      <c r="AB32" s="216">
        <f>SUM('WK1:WK5'!AF32)</f>
        <v>0</v>
      </c>
      <c r="AC32" s="216">
        <f>SUM('WK1:WK5'!AG32)</f>
        <v>0</v>
      </c>
      <c r="AD32" s="216">
        <f>SUM('WK1:WK5'!AH32)</f>
        <v>0</v>
      </c>
      <c r="AE32" s="123">
        <f t="shared" si="28"/>
        <v>0</v>
      </c>
    </row>
    <row r="33" spans="1:31" x14ac:dyDescent="0.25">
      <c r="A33" s="30" t="s">
        <v>26</v>
      </c>
      <c r="B33" s="219">
        <f>ROUNDDOWN(SUM('WK1:WK5'!F33)/MAX(1,INDEX(FREQUENCY('WK1:WK5'!F33,0),2)),0)</f>
        <v>10765</v>
      </c>
      <c r="C33" s="217">
        <f>ROUNDDOWN(SUM('WK1:WK5'!G33)/MAX(1,INDEX(FREQUENCY('WK1:WK5'!G33,0),2)),0)</f>
        <v>3800</v>
      </c>
      <c r="D33" s="220">
        <f>ROUNDDOWN(SUM('WK1:WK5'!H33)/MAX(1,INDEX(FREQUENCY('WK1:WK5'!H33,0),2)),0)</f>
        <v>0</v>
      </c>
      <c r="E33" s="230">
        <f t="shared" si="24"/>
        <v>14565</v>
      </c>
      <c r="F33" s="223">
        <f>SUM('WK1:WK5'!J33)</f>
        <v>0</v>
      </c>
      <c r="G33" s="216">
        <f>SUM('WK1:WK5'!K33)</f>
        <v>0</v>
      </c>
      <c r="H33" s="216">
        <f>SUM('WK1:WK5'!L33)</f>
        <v>0</v>
      </c>
      <c r="I33" s="216">
        <f>SUM('WK1:WK5'!M33)</f>
        <v>62160</v>
      </c>
      <c r="J33" s="216">
        <f>SUM('WK1:WK5'!N33)</f>
        <v>16</v>
      </c>
      <c r="K33" s="216">
        <f>SUM('WK1:WK5'!O33)</f>
        <v>10</v>
      </c>
      <c r="L33" s="216">
        <f>SUM('WK1:WK5'!P33)</f>
        <v>0</v>
      </c>
      <c r="M33" s="207">
        <f t="shared" si="25"/>
        <v>62186</v>
      </c>
      <c r="N33" s="222">
        <f>SUM('WK1:WK5'!R33)</f>
        <v>0</v>
      </c>
      <c r="O33" s="218">
        <f>SUM('WK1:WK5'!S33)</f>
        <v>0</v>
      </c>
      <c r="P33" s="223">
        <f>SUM('WK1:WK5'!T33)</f>
        <v>0</v>
      </c>
      <c r="Q33" s="216">
        <f>SUM('WK1:WK5'!U33)</f>
        <v>0</v>
      </c>
      <c r="R33" s="221">
        <f>SUM('WK1:WK5'!V33)</f>
        <v>0</v>
      </c>
      <c r="S33" s="222">
        <f>SUM('WK1:WK5'!W33)</f>
        <v>0</v>
      </c>
      <c r="T33" s="216">
        <f>SUM('WK1:WK5'!X33)</f>
        <v>0</v>
      </c>
      <c r="U33" s="216">
        <f>SUM('WK1:WK5'!Y33)</f>
        <v>0</v>
      </c>
      <c r="V33" s="192">
        <f t="shared" si="26"/>
        <v>0</v>
      </c>
      <c r="W33" s="216">
        <f>SUM('WK1:WK5'!AA33)</f>
        <v>0</v>
      </c>
      <c r="X33" s="216">
        <f>SUM('WK1:WK5'!AB33)</f>
        <v>0</v>
      </c>
      <c r="Y33" s="216">
        <f>SUM('WK1:WK5'!AC33)</f>
        <v>0</v>
      </c>
      <c r="Z33" s="216">
        <f>SUM('WK1:WK5'!AD33)</f>
        <v>0</v>
      </c>
      <c r="AA33" s="192" t="str">
        <f t="shared" si="27"/>
        <v>-</v>
      </c>
      <c r="AB33" s="216">
        <f>SUM('WK1:WK5'!AF33)</f>
        <v>0</v>
      </c>
      <c r="AC33" s="216">
        <f>SUM('WK1:WK5'!AG33)</f>
        <v>0</v>
      </c>
      <c r="AD33" s="216">
        <f>SUM('WK1:WK5'!AH33)</f>
        <v>0</v>
      </c>
      <c r="AE33" s="123">
        <f t="shared" si="28"/>
        <v>0</v>
      </c>
    </row>
    <row r="34" spans="1:31" x14ac:dyDescent="0.25">
      <c r="A34" s="30" t="s">
        <v>58</v>
      </c>
      <c r="B34" s="219">
        <f>ROUNDDOWN(SUM('WK1:WK5'!F34)/MAX(1,INDEX(FREQUENCY('WK1:WK5'!F34,0),2)),0)</f>
        <v>6217</v>
      </c>
      <c r="C34" s="217">
        <f>ROUNDDOWN(SUM('WK1:WK5'!G34)/MAX(1,INDEX(FREQUENCY('WK1:WK5'!G34,0),2)),0)</f>
        <v>1287</v>
      </c>
      <c r="D34" s="220">
        <f>ROUNDDOWN(SUM('WK1:WK5'!H34)/MAX(1,INDEX(FREQUENCY('WK1:WK5'!H34,0),2)),0)</f>
        <v>0</v>
      </c>
      <c r="E34" s="230">
        <f t="shared" si="24"/>
        <v>7504</v>
      </c>
      <c r="F34" s="223">
        <f>SUM('WK1:WK5'!J34)</f>
        <v>0</v>
      </c>
      <c r="G34" s="216">
        <f>SUM('WK1:WK5'!K34)</f>
        <v>0</v>
      </c>
      <c r="H34" s="216">
        <f>SUM('WK1:WK5'!L34)</f>
        <v>5555</v>
      </c>
      <c r="I34" s="216">
        <f>SUM('WK1:WK5'!M34)</f>
        <v>35575</v>
      </c>
      <c r="J34" s="216">
        <f>SUM('WK1:WK5'!N34)</f>
        <v>27</v>
      </c>
      <c r="K34" s="216">
        <f>SUM('WK1:WK5'!O34)</f>
        <v>1</v>
      </c>
      <c r="L34" s="216">
        <f>SUM('WK1:WK5'!P34)</f>
        <v>0</v>
      </c>
      <c r="M34" s="207">
        <f t="shared" si="25"/>
        <v>41158</v>
      </c>
      <c r="N34" s="222">
        <f>SUM('WK1:WK5'!R34)</f>
        <v>0</v>
      </c>
      <c r="O34" s="218">
        <f>SUM('WK1:WK5'!S34)</f>
        <v>0</v>
      </c>
      <c r="P34" s="223">
        <f>SUM('WK1:WK5'!T34)</f>
        <v>0</v>
      </c>
      <c r="Q34" s="216">
        <f>SUM('WK1:WK5'!U34)</f>
        <v>0</v>
      </c>
      <c r="R34" s="221">
        <f>SUM('WK1:WK5'!V34)</f>
        <v>0</v>
      </c>
      <c r="S34" s="222">
        <f>SUM('WK1:WK5'!W34)</f>
        <v>0</v>
      </c>
      <c r="T34" s="216">
        <f>SUM('WK1:WK5'!X34)</f>
        <v>0</v>
      </c>
      <c r="U34" s="216">
        <f>SUM('WK1:WK5'!Y34)</f>
        <v>0</v>
      </c>
      <c r="V34" s="192">
        <f t="shared" si="26"/>
        <v>0</v>
      </c>
      <c r="W34" s="216">
        <f>SUM('WK1:WK5'!AA34)</f>
        <v>0</v>
      </c>
      <c r="X34" s="216">
        <f>SUM('WK1:WK5'!AB34)</f>
        <v>0</v>
      </c>
      <c r="Y34" s="216">
        <f>SUM('WK1:WK5'!AC34)</f>
        <v>0</v>
      </c>
      <c r="Z34" s="216">
        <f>SUM('WK1:WK5'!AD34)</f>
        <v>0</v>
      </c>
      <c r="AA34" s="192" t="str">
        <f t="shared" si="27"/>
        <v>-</v>
      </c>
      <c r="AB34" s="216">
        <f>SUM('WK1:WK5'!AF34)</f>
        <v>0</v>
      </c>
      <c r="AC34" s="216">
        <f>SUM('WK1:WK5'!AG34)</f>
        <v>0</v>
      </c>
      <c r="AD34" s="216">
        <f>SUM('WK1:WK5'!AH34)</f>
        <v>0</v>
      </c>
      <c r="AE34" s="123">
        <f t="shared" si="28"/>
        <v>0</v>
      </c>
    </row>
    <row r="35" spans="1:31" x14ac:dyDescent="0.25">
      <c r="A35" s="30" t="s">
        <v>36</v>
      </c>
      <c r="B35" s="219">
        <f>ROUNDDOWN(SUM('WK1:WK5'!F35)/MAX(1,INDEX(FREQUENCY('WK1:WK5'!F35,0),2)),0)</f>
        <v>1496</v>
      </c>
      <c r="C35" s="217">
        <f>ROUNDDOWN(SUM('WK1:WK5'!G35)/MAX(1,INDEX(FREQUENCY('WK1:WK5'!G35,0),2)),0)</f>
        <v>1356</v>
      </c>
      <c r="D35" s="220">
        <f>ROUNDDOWN(SUM('WK1:WK5'!H35)/MAX(1,INDEX(FREQUENCY('WK1:WK5'!H35,0),2)),0)</f>
        <v>0</v>
      </c>
      <c r="E35" s="230">
        <f t="shared" si="24"/>
        <v>2852</v>
      </c>
      <c r="F35" s="223">
        <f>SUM('WK1:WK5'!J35)</f>
        <v>0</v>
      </c>
      <c r="G35" s="216">
        <f>SUM('WK1:WK5'!K35)</f>
        <v>0</v>
      </c>
      <c r="H35" s="216">
        <f>SUM('WK1:WK5'!L35)</f>
        <v>0</v>
      </c>
      <c r="I35" s="216">
        <f>SUM('WK1:WK5'!M35)</f>
        <v>8560</v>
      </c>
      <c r="J35" s="216">
        <f>SUM('WK1:WK5'!N35)</f>
        <v>0</v>
      </c>
      <c r="K35" s="216">
        <f>SUM('WK1:WK5'!O35)</f>
        <v>0</v>
      </c>
      <c r="L35" s="216">
        <f>SUM('WK1:WK5'!P35)</f>
        <v>0</v>
      </c>
      <c r="M35" s="207">
        <f t="shared" si="25"/>
        <v>8560</v>
      </c>
      <c r="N35" s="222">
        <f>SUM('WK1:WK5'!R35)</f>
        <v>0</v>
      </c>
      <c r="O35" s="218">
        <f>SUM('WK1:WK5'!S35)</f>
        <v>0</v>
      </c>
      <c r="P35" s="223">
        <f>SUM('WK1:WK5'!T35)</f>
        <v>0</v>
      </c>
      <c r="Q35" s="216">
        <f>SUM('WK1:WK5'!U35)</f>
        <v>0</v>
      </c>
      <c r="R35" s="221">
        <f>SUM('WK1:WK5'!V35)</f>
        <v>0</v>
      </c>
      <c r="S35" s="222">
        <f>SUM('WK1:WK5'!W35)</f>
        <v>0</v>
      </c>
      <c r="T35" s="216">
        <f>SUM('WK1:WK5'!X35)</f>
        <v>0</v>
      </c>
      <c r="U35" s="216">
        <f>SUM('WK1:WK5'!Y35)</f>
        <v>0</v>
      </c>
      <c r="V35" s="192">
        <f t="shared" si="26"/>
        <v>0</v>
      </c>
      <c r="W35" s="216">
        <f>SUM('WK1:WK5'!AA35)</f>
        <v>0</v>
      </c>
      <c r="X35" s="216">
        <f>SUM('WK1:WK5'!AB35)</f>
        <v>0</v>
      </c>
      <c r="Y35" s="216">
        <f>SUM('WK1:WK5'!AC35)</f>
        <v>0</v>
      </c>
      <c r="Z35" s="216">
        <f>SUM('WK1:WK5'!AD35)</f>
        <v>0</v>
      </c>
      <c r="AA35" s="192" t="str">
        <f t="shared" si="27"/>
        <v>-</v>
      </c>
      <c r="AB35" s="216">
        <f>SUM('WK1:WK5'!AF35)</f>
        <v>0</v>
      </c>
      <c r="AC35" s="216">
        <f>SUM('WK1:WK5'!AG35)</f>
        <v>0</v>
      </c>
      <c r="AD35" s="216">
        <f>SUM('WK1:WK5'!AH35)</f>
        <v>0</v>
      </c>
      <c r="AE35" s="123">
        <f t="shared" si="28"/>
        <v>0</v>
      </c>
    </row>
    <row r="36" spans="1:31" x14ac:dyDescent="0.25">
      <c r="A36" s="236"/>
      <c r="B36" s="166">
        <f t="shared" ref="B36:U36" si="29">SUM(B27:B35)</f>
        <v>49419</v>
      </c>
      <c r="C36" s="155">
        <f t="shared" si="29"/>
        <v>34138</v>
      </c>
      <c r="D36" s="155">
        <f t="shared" si="29"/>
        <v>0</v>
      </c>
      <c r="E36" s="167">
        <f t="shared" si="29"/>
        <v>83557</v>
      </c>
      <c r="F36" s="211">
        <f t="shared" si="29"/>
        <v>0</v>
      </c>
      <c r="G36" s="155">
        <f t="shared" si="29"/>
        <v>6010</v>
      </c>
      <c r="H36" s="155">
        <f t="shared" si="29"/>
        <v>18225</v>
      </c>
      <c r="I36" s="155">
        <f t="shared" si="29"/>
        <v>344315</v>
      </c>
      <c r="J36" s="155">
        <f t="shared" si="29"/>
        <v>101</v>
      </c>
      <c r="K36" s="155">
        <f t="shared" si="29"/>
        <v>35</v>
      </c>
      <c r="L36" s="155">
        <f t="shared" si="29"/>
        <v>0</v>
      </c>
      <c r="M36" s="126">
        <f t="shared" si="29"/>
        <v>368686</v>
      </c>
      <c r="N36" s="166">
        <f t="shared" si="29"/>
        <v>0</v>
      </c>
      <c r="O36" s="167">
        <f t="shared" si="29"/>
        <v>0</v>
      </c>
      <c r="P36" s="211">
        <f t="shared" si="29"/>
        <v>0</v>
      </c>
      <c r="Q36" s="155">
        <f>SUM(Q27:Q35)</f>
        <v>0</v>
      </c>
      <c r="R36" s="186">
        <f t="shared" si="29"/>
        <v>0</v>
      </c>
      <c r="S36" s="166">
        <f t="shared" si="29"/>
        <v>0</v>
      </c>
      <c r="T36" s="186">
        <f>SUM(T27:T35)</f>
        <v>0</v>
      </c>
      <c r="U36" s="155">
        <f t="shared" si="29"/>
        <v>0</v>
      </c>
      <c r="V36" s="161">
        <f>IF(SUM(V27:V35)&gt;0,AVERAGEIF(V27:V35,"&lt;&gt;0"),0)</f>
        <v>0</v>
      </c>
      <c r="W36" s="155">
        <f>SUM(W27:W35)</f>
        <v>0</v>
      </c>
      <c r="X36" s="155">
        <f>SUM(X27:X35)</f>
        <v>0</v>
      </c>
      <c r="Y36" s="155">
        <f>SUM(Y27:Y35)</f>
        <v>0</v>
      </c>
      <c r="Z36" s="186">
        <f>SUM(Z27:Z35)</f>
        <v>0</v>
      </c>
      <c r="AA36" s="161">
        <f>IF(SUM(AA27:AA35),AVERAGEIF(AA27:AA35,"&lt;&gt;0"),0)</f>
        <v>0</v>
      </c>
      <c r="AB36" s="166">
        <f>SUM(AB27:AB35)</f>
        <v>0</v>
      </c>
      <c r="AC36" s="155">
        <f>SUM(AC27:AC35)</f>
        <v>0</v>
      </c>
      <c r="AD36" s="155">
        <f>SUM(AD27:AD35)</f>
        <v>0</v>
      </c>
      <c r="AE36" s="167">
        <f>SUM(AE27:AE35)</f>
        <v>0</v>
      </c>
    </row>
    <row r="37" spans="1:31" ht="15" customHeight="1" x14ac:dyDescent="0.25">
      <c r="A37" s="30" t="s">
        <v>27</v>
      </c>
      <c r="B37" s="219">
        <f>ROUNDDOWN(SUM('WK1:WK5'!F37)/MAX(1,INDEX(FREQUENCY('WK1:WK5'!F37,0),2)),0)</f>
        <v>16220</v>
      </c>
      <c r="C37" s="217">
        <f>ROUNDDOWN(SUM('WK1:WK5'!G37)/MAX(1,INDEX(FREQUENCY('WK1:WK5'!G37,0),2)),0)</f>
        <v>11350</v>
      </c>
      <c r="D37" s="220">
        <f>ROUNDDOWN(SUM('WK1:WK5'!H37)/MAX(1,INDEX(FREQUENCY('WK1:WK5'!H37,0),2)),0)</f>
        <v>0</v>
      </c>
      <c r="E37" s="230">
        <f>SUM(B37:D37)</f>
        <v>27570</v>
      </c>
      <c r="F37" s="223">
        <f>SUM('WK1:WK5'!J37)</f>
        <v>0</v>
      </c>
      <c r="G37" s="216">
        <f>SUM('WK1:WK5'!K37)</f>
        <v>0</v>
      </c>
      <c r="H37" s="216">
        <f>SUM('WK1:WK5'!L37)</f>
        <v>0</v>
      </c>
      <c r="I37" s="216">
        <f>SUM('WK1:WK5'!M37)</f>
        <v>55140</v>
      </c>
      <c r="J37" s="216">
        <f>SUM('WK1:WK5'!N37)</f>
        <v>0</v>
      </c>
      <c r="K37" s="216">
        <f>SUM('WK1:WK5'!O37)</f>
        <v>0</v>
      </c>
      <c r="L37" s="216">
        <f>SUM('WK1:WK5'!P37)</f>
        <v>0</v>
      </c>
      <c r="M37" s="207">
        <f>SUM(F37:L37)</f>
        <v>55140</v>
      </c>
      <c r="N37" s="222">
        <f>SUM('WK1:WK5'!R37)</f>
        <v>0</v>
      </c>
      <c r="O37" s="218">
        <f>SUM('WK1:WK5'!S37)</f>
        <v>0</v>
      </c>
      <c r="P37" s="223">
        <f>SUM('WK1:WK5'!T37)</f>
        <v>0</v>
      </c>
      <c r="Q37" s="216">
        <f>SUM('WK1:WK5'!U37)</f>
        <v>0</v>
      </c>
      <c r="R37" s="221">
        <f>SUM('WK1:WK5'!V37)</f>
        <v>0</v>
      </c>
      <c r="S37" s="222">
        <f>SUM('WK1:WK5'!W37)</f>
        <v>0</v>
      </c>
      <c r="T37" s="216">
        <f>SUM('WK1:WK5'!X37)</f>
        <v>0</v>
      </c>
      <c r="U37" s="216">
        <f>SUM('WK1:WK5'!Y37)</f>
        <v>0</v>
      </c>
      <c r="V37" s="192">
        <f>SUM(S37:U37)</f>
        <v>0</v>
      </c>
      <c r="W37" s="216">
        <f>SUM('WK1:WK5'!AA37)</f>
        <v>0</v>
      </c>
      <c r="X37" s="216">
        <f>SUM('WK1:WK5'!AB37)</f>
        <v>0</v>
      </c>
      <c r="Y37" s="216">
        <f>SUM('WK1:WK5'!AC37)</f>
        <v>0</v>
      </c>
      <c r="Z37" s="216">
        <f>SUM('WK1:WK5'!AD37)</f>
        <v>0</v>
      </c>
      <c r="AA37" s="192" t="str">
        <f>IF(SUM(W37:Z37)&gt;0,AVERAGEIF(W37:Z37,"&lt;&gt;0"),"-")</f>
        <v>-</v>
      </c>
      <c r="AB37" s="216">
        <f>SUM('WK1:WK5'!AF37)</f>
        <v>0</v>
      </c>
      <c r="AC37" s="216">
        <f>SUM('WK1:WK5'!AG37)</f>
        <v>0</v>
      </c>
      <c r="AD37" s="216">
        <f>SUM('WK1:WK5'!AH37)</f>
        <v>0</v>
      </c>
      <c r="AE37" s="123">
        <f>SUM(AB37:AD37)</f>
        <v>0</v>
      </c>
    </row>
    <row r="38" spans="1:31" x14ac:dyDescent="0.25">
      <c r="A38" s="30" t="s">
        <v>28</v>
      </c>
      <c r="B38" s="219">
        <f>ROUNDDOWN(SUM('WK1:WK5'!F38)/MAX(1,INDEX(FREQUENCY('WK1:WK5'!F38,0),2)),0)</f>
        <v>1462</v>
      </c>
      <c r="C38" s="217">
        <f>ROUNDDOWN(SUM('WK1:WK5'!G38)/MAX(1,INDEX(FREQUENCY('WK1:WK5'!G38,0),2)),0)</f>
        <v>1100</v>
      </c>
      <c r="D38" s="220">
        <f>ROUNDDOWN(SUM('WK1:WK5'!H38)/MAX(1,INDEX(FREQUENCY('WK1:WK5'!H38,0),2)),0)</f>
        <v>0</v>
      </c>
      <c r="E38" s="230">
        <f t="shared" ref="E38:E49" si="30">SUM(B38:D38)</f>
        <v>2562</v>
      </c>
      <c r="F38" s="223">
        <f>SUM('WK1:WK5'!J38)</f>
        <v>0</v>
      </c>
      <c r="G38" s="216">
        <f>SUM('WK1:WK5'!K38)</f>
        <v>0</v>
      </c>
      <c r="H38" s="216">
        <f>SUM('WK1:WK5'!L38)</f>
        <v>0</v>
      </c>
      <c r="I38" s="216">
        <f>SUM('WK1:WK5'!M38)</f>
        <v>8050</v>
      </c>
      <c r="J38" s="216">
        <f>SUM('WK1:WK5'!N38)</f>
        <v>4</v>
      </c>
      <c r="K38" s="216">
        <f>SUM('WK1:WK5'!O38)</f>
        <v>4</v>
      </c>
      <c r="L38" s="216">
        <f>SUM('WK1:WK5'!P38)</f>
        <v>0</v>
      </c>
      <c r="M38" s="207">
        <f t="shared" ref="M38:M49" si="31">SUM(F38:L38)</f>
        <v>8058</v>
      </c>
      <c r="N38" s="222">
        <f>SUM('WK1:WK5'!R38)</f>
        <v>0</v>
      </c>
      <c r="O38" s="218">
        <f>SUM('WK1:WK5'!S38)</f>
        <v>0</v>
      </c>
      <c r="P38" s="223">
        <f>SUM('WK1:WK5'!T38)</f>
        <v>0</v>
      </c>
      <c r="Q38" s="216">
        <f>SUM('WK1:WK5'!U38)</f>
        <v>0</v>
      </c>
      <c r="R38" s="221">
        <f>SUM('WK1:WK5'!V38)</f>
        <v>0</v>
      </c>
      <c r="S38" s="222">
        <f>SUM('WK1:WK5'!W38)</f>
        <v>0</v>
      </c>
      <c r="T38" s="216">
        <f>SUM('WK1:WK5'!X38)</f>
        <v>0</v>
      </c>
      <c r="U38" s="216">
        <f>SUM('WK1:WK5'!Y38)</f>
        <v>0</v>
      </c>
      <c r="V38" s="192">
        <f t="shared" ref="V38:V49" si="32">SUM(S38:U38)</f>
        <v>0</v>
      </c>
      <c r="W38" s="216">
        <f>SUM('WK1:WK5'!AA38)</f>
        <v>0</v>
      </c>
      <c r="X38" s="216">
        <f>SUM('WK1:WK5'!AB38)</f>
        <v>0</v>
      </c>
      <c r="Y38" s="216">
        <f>SUM('WK1:WK5'!AC38)</f>
        <v>0</v>
      </c>
      <c r="Z38" s="216">
        <f>SUM('WK1:WK5'!AD38)</f>
        <v>0</v>
      </c>
      <c r="AA38" s="192" t="str">
        <f t="shared" ref="AA38:AA49" si="33">IF(SUM(W38:Z38)&gt;0,AVERAGEIF(W38:Z38,"&lt;&gt;0"),"-")</f>
        <v>-</v>
      </c>
      <c r="AB38" s="216">
        <f>SUM('WK1:WK5'!AF38)</f>
        <v>0</v>
      </c>
      <c r="AC38" s="216">
        <f>SUM('WK1:WK5'!AG38)</f>
        <v>0</v>
      </c>
      <c r="AD38" s="216">
        <f>SUM('WK1:WK5'!AH38)</f>
        <v>0</v>
      </c>
      <c r="AE38" s="123">
        <f t="shared" ref="AE38:AE49" si="34">SUM(AB38:AD38)</f>
        <v>0</v>
      </c>
    </row>
    <row r="39" spans="1:31" x14ac:dyDescent="0.25">
      <c r="A39" s="30" t="s">
        <v>62</v>
      </c>
      <c r="B39" s="219">
        <f>ROUNDDOWN(SUM('WK1:WK5'!F39)/MAX(1,INDEX(FREQUENCY('WK1:WK5'!F39,0),2)),0)</f>
        <v>0</v>
      </c>
      <c r="C39" s="217">
        <f>ROUNDDOWN(SUM('WK1:WK5'!G39)/MAX(1,INDEX(FREQUENCY('WK1:WK5'!G39,0),2)),0)</f>
        <v>0</v>
      </c>
      <c r="D39" s="220">
        <f>ROUNDDOWN(SUM('WK1:WK5'!H39)/MAX(1,INDEX(FREQUENCY('WK1:WK5'!H39,0),2)),0)</f>
        <v>0</v>
      </c>
      <c r="E39" s="230">
        <f t="shared" si="30"/>
        <v>0</v>
      </c>
      <c r="F39" s="223">
        <f>SUM('WK1:WK5'!J39)</f>
        <v>0</v>
      </c>
      <c r="G39" s="216">
        <f>SUM('WK1:WK5'!K39)</f>
        <v>0</v>
      </c>
      <c r="H39" s="216">
        <f>SUM('WK1:WK5'!L39)</f>
        <v>0</v>
      </c>
      <c r="I39" s="216">
        <f>SUM('WK1:WK5'!M39)</f>
        <v>0</v>
      </c>
      <c r="J39" s="216">
        <f>SUM('WK1:WK5'!N39)</f>
        <v>0</v>
      </c>
      <c r="K39" s="216">
        <f>SUM('WK1:WK5'!O39)</f>
        <v>0</v>
      </c>
      <c r="L39" s="216">
        <f>SUM('WK1:WK5'!P39)</f>
        <v>0</v>
      </c>
      <c r="M39" s="207">
        <f t="shared" si="31"/>
        <v>0</v>
      </c>
      <c r="N39" s="222">
        <f>SUM('WK1:WK5'!R39)</f>
        <v>0</v>
      </c>
      <c r="O39" s="218">
        <f>SUM('WK1:WK5'!S39)</f>
        <v>0</v>
      </c>
      <c r="P39" s="223">
        <f>SUM('WK1:WK5'!T39)</f>
        <v>0</v>
      </c>
      <c r="Q39" s="216">
        <f>SUM('WK1:WK5'!U39)</f>
        <v>0</v>
      </c>
      <c r="R39" s="221">
        <f>SUM('WK1:WK5'!V39)</f>
        <v>0</v>
      </c>
      <c r="S39" s="222">
        <f>SUM('WK1:WK5'!W39)</f>
        <v>0</v>
      </c>
      <c r="T39" s="216">
        <f>SUM('WK1:WK5'!X39)</f>
        <v>0</v>
      </c>
      <c r="U39" s="216">
        <f>SUM('WK1:WK5'!Y39)</f>
        <v>0</v>
      </c>
      <c r="V39" s="192">
        <f t="shared" si="32"/>
        <v>0</v>
      </c>
      <c r="W39" s="216">
        <f>SUM('WK1:WK5'!AA39)</f>
        <v>0</v>
      </c>
      <c r="X39" s="216">
        <f>SUM('WK1:WK5'!AB39)</f>
        <v>0</v>
      </c>
      <c r="Y39" s="216">
        <f>SUM('WK1:WK5'!AC39)</f>
        <v>0</v>
      </c>
      <c r="Z39" s="216">
        <f>SUM('WK1:WK5'!AD39)</f>
        <v>0</v>
      </c>
      <c r="AA39" s="192" t="str">
        <f t="shared" si="33"/>
        <v>-</v>
      </c>
      <c r="AB39" s="216">
        <f>SUM('WK1:WK5'!AF39)</f>
        <v>0</v>
      </c>
      <c r="AC39" s="216">
        <f>SUM('WK1:WK5'!AG39)</f>
        <v>0</v>
      </c>
      <c r="AD39" s="216">
        <f>SUM('WK1:WK5'!AH39)</f>
        <v>0</v>
      </c>
      <c r="AE39" s="123">
        <f t="shared" si="34"/>
        <v>0</v>
      </c>
    </row>
    <row r="40" spans="1:31" x14ac:dyDescent="0.25">
      <c r="A40" s="30" t="s">
        <v>29</v>
      </c>
      <c r="B40" s="219">
        <f>ROUNDDOWN(SUM('WK1:WK5'!F40)/MAX(1,INDEX(FREQUENCY('WK1:WK5'!F40,0),2)),0)</f>
        <v>0</v>
      </c>
      <c r="C40" s="217">
        <f>ROUNDDOWN(SUM('WK1:WK5'!G40)/MAX(1,INDEX(FREQUENCY('WK1:WK5'!G40,0),2)),0)</f>
        <v>0</v>
      </c>
      <c r="D40" s="220">
        <f>ROUNDDOWN(SUM('WK1:WK5'!H40)/MAX(1,INDEX(FREQUENCY('WK1:WK5'!H40,0),2)),0)</f>
        <v>0</v>
      </c>
      <c r="E40" s="230">
        <f t="shared" si="30"/>
        <v>0</v>
      </c>
      <c r="F40" s="223">
        <f>SUM('WK1:WK5'!J40)</f>
        <v>0</v>
      </c>
      <c r="G40" s="216">
        <f>SUM('WK1:WK5'!K40)</f>
        <v>0</v>
      </c>
      <c r="H40" s="216">
        <f>SUM('WK1:WK5'!L40)</f>
        <v>0</v>
      </c>
      <c r="I40" s="216">
        <f>SUM('WK1:WK5'!M40)</f>
        <v>0</v>
      </c>
      <c r="J40" s="216">
        <f>SUM('WK1:WK5'!N40)</f>
        <v>0</v>
      </c>
      <c r="K40" s="216">
        <f>SUM('WK1:WK5'!O40)</f>
        <v>0</v>
      </c>
      <c r="L40" s="216">
        <f>SUM('WK1:WK5'!P40)</f>
        <v>0</v>
      </c>
      <c r="M40" s="207">
        <f t="shared" si="31"/>
        <v>0</v>
      </c>
      <c r="N40" s="222">
        <f>SUM('WK1:WK5'!R40)</f>
        <v>0</v>
      </c>
      <c r="O40" s="218">
        <f>SUM('WK1:WK5'!S40)</f>
        <v>0</v>
      </c>
      <c r="P40" s="223">
        <f>SUM('WK1:WK5'!T40)</f>
        <v>0</v>
      </c>
      <c r="Q40" s="216">
        <f>SUM('WK1:WK5'!U40)</f>
        <v>0</v>
      </c>
      <c r="R40" s="221">
        <f>SUM('WK1:WK5'!V40)</f>
        <v>0</v>
      </c>
      <c r="S40" s="222">
        <f>SUM('WK1:WK5'!W40)</f>
        <v>0</v>
      </c>
      <c r="T40" s="216">
        <f>SUM('WK1:WK5'!X40)</f>
        <v>0</v>
      </c>
      <c r="U40" s="216">
        <f>SUM('WK1:WK5'!Y40)</f>
        <v>0</v>
      </c>
      <c r="V40" s="192">
        <f t="shared" si="32"/>
        <v>0</v>
      </c>
      <c r="W40" s="216">
        <f>SUM('WK1:WK5'!AA40)</f>
        <v>0</v>
      </c>
      <c r="X40" s="216">
        <f>SUM('WK1:WK5'!AB40)</f>
        <v>0</v>
      </c>
      <c r="Y40" s="216">
        <f>SUM('WK1:WK5'!AC40)</f>
        <v>0</v>
      </c>
      <c r="Z40" s="216">
        <f>SUM('WK1:WK5'!AD40)</f>
        <v>0</v>
      </c>
      <c r="AA40" s="192" t="str">
        <f t="shared" si="33"/>
        <v>-</v>
      </c>
      <c r="AB40" s="216">
        <f>SUM('WK1:WK5'!AF40)</f>
        <v>0</v>
      </c>
      <c r="AC40" s="216">
        <f>SUM('WK1:WK5'!AG40)</f>
        <v>0</v>
      </c>
      <c r="AD40" s="216">
        <f>SUM('WK1:WK5'!AH40)</f>
        <v>0</v>
      </c>
      <c r="AE40" s="123">
        <f t="shared" si="34"/>
        <v>0</v>
      </c>
    </row>
    <row r="41" spans="1:31" x14ac:dyDescent="0.25">
      <c r="A41" s="30" t="s">
        <v>30</v>
      </c>
      <c r="B41" s="219">
        <f>ROUNDDOWN(SUM('WK1:WK5'!F41)/MAX(1,INDEX(FREQUENCY('WK1:WK5'!F41,0),2)),0)</f>
        <v>0</v>
      </c>
      <c r="C41" s="217">
        <f>ROUNDDOWN(SUM('WK1:WK5'!G41)/MAX(1,INDEX(FREQUENCY('WK1:WK5'!G41,0),2)),0)</f>
        <v>0</v>
      </c>
      <c r="D41" s="220">
        <f>ROUNDDOWN(SUM('WK1:WK5'!H41)/MAX(1,INDEX(FREQUENCY('WK1:WK5'!H41,0),2)),0)</f>
        <v>0</v>
      </c>
      <c r="E41" s="230">
        <f t="shared" si="30"/>
        <v>0</v>
      </c>
      <c r="F41" s="223">
        <f>SUM('WK1:WK5'!J41)</f>
        <v>0</v>
      </c>
      <c r="G41" s="216">
        <f>SUM('WK1:WK5'!K41)</f>
        <v>0</v>
      </c>
      <c r="H41" s="216">
        <f>SUM('WK1:WK5'!L41)</f>
        <v>0</v>
      </c>
      <c r="I41" s="216">
        <f>SUM('WK1:WK5'!M41)</f>
        <v>0</v>
      </c>
      <c r="J41" s="216">
        <f>SUM('WK1:WK5'!N41)</f>
        <v>0</v>
      </c>
      <c r="K41" s="216">
        <f>SUM('WK1:WK5'!O41)</f>
        <v>0</v>
      </c>
      <c r="L41" s="216">
        <f>SUM('WK1:WK5'!P41)</f>
        <v>0</v>
      </c>
      <c r="M41" s="207">
        <f t="shared" si="31"/>
        <v>0</v>
      </c>
      <c r="N41" s="222">
        <f>SUM('WK1:WK5'!R41)</f>
        <v>0</v>
      </c>
      <c r="O41" s="218">
        <f>SUM('WK1:WK5'!S41)</f>
        <v>0</v>
      </c>
      <c r="P41" s="223">
        <f>SUM('WK1:WK5'!T41)</f>
        <v>0</v>
      </c>
      <c r="Q41" s="216">
        <f>SUM('WK1:WK5'!U41)</f>
        <v>0</v>
      </c>
      <c r="R41" s="221">
        <f>SUM('WK1:WK5'!V41)</f>
        <v>0</v>
      </c>
      <c r="S41" s="222">
        <f>SUM('WK1:WK5'!W41)</f>
        <v>0</v>
      </c>
      <c r="T41" s="216">
        <f>SUM('WK1:WK5'!X41)</f>
        <v>0</v>
      </c>
      <c r="U41" s="216">
        <f>SUM('WK1:WK5'!Y41)</f>
        <v>0</v>
      </c>
      <c r="V41" s="192">
        <f t="shared" si="32"/>
        <v>0</v>
      </c>
      <c r="W41" s="216">
        <f>SUM('WK1:WK5'!AA41)</f>
        <v>0</v>
      </c>
      <c r="X41" s="216">
        <f>SUM('WK1:WK5'!AB41)</f>
        <v>0</v>
      </c>
      <c r="Y41" s="216">
        <f>SUM('WK1:WK5'!AC41)</f>
        <v>0</v>
      </c>
      <c r="Z41" s="216">
        <f>SUM('WK1:WK5'!AD41)</f>
        <v>0</v>
      </c>
      <c r="AA41" s="192" t="str">
        <f t="shared" si="33"/>
        <v>-</v>
      </c>
      <c r="AB41" s="216">
        <f>SUM('WK1:WK5'!AF41)</f>
        <v>0</v>
      </c>
      <c r="AC41" s="216">
        <f>SUM('WK1:WK5'!AG41)</f>
        <v>0</v>
      </c>
      <c r="AD41" s="216">
        <f>SUM('WK1:WK5'!AH41)</f>
        <v>0</v>
      </c>
      <c r="AE41" s="123">
        <f t="shared" si="34"/>
        <v>0</v>
      </c>
    </row>
    <row r="42" spans="1:31" x14ac:dyDescent="0.25">
      <c r="A42" s="30" t="s">
        <v>31</v>
      </c>
      <c r="B42" s="219">
        <f>ROUNDDOWN(SUM('WK1:WK5'!F42)/MAX(1,INDEX(FREQUENCY('WK1:WK5'!F42,0),2)),0)</f>
        <v>0</v>
      </c>
      <c r="C42" s="217">
        <f>ROUNDDOWN(SUM('WK1:WK5'!G42)/MAX(1,INDEX(FREQUENCY('WK1:WK5'!G42,0),2)),0)</f>
        <v>0</v>
      </c>
      <c r="D42" s="220">
        <f>ROUNDDOWN(SUM('WK1:WK5'!H42)/MAX(1,INDEX(FREQUENCY('WK1:WK5'!H42,0),2)),0)</f>
        <v>0</v>
      </c>
      <c r="E42" s="230">
        <f t="shared" si="30"/>
        <v>0</v>
      </c>
      <c r="F42" s="223">
        <f>SUM('WK1:WK5'!J42)</f>
        <v>0</v>
      </c>
      <c r="G42" s="216">
        <f>SUM('WK1:WK5'!K42)</f>
        <v>0</v>
      </c>
      <c r="H42" s="216">
        <f>SUM('WK1:WK5'!L42)</f>
        <v>0</v>
      </c>
      <c r="I42" s="216">
        <f>SUM('WK1:WK5'!M42)</f>
        <v>0</v>
      </c>
      <c r="J42" s="216">
        <f>SUM('WK1:WK5'!N42)</f>
        <v>0</v>
      </c>
      <c r="K42" s="216">
        <f>SUM('WK1:WK5'!O42)</f>
        <v>0</v>
      </c>
      <c r="L42" s="216">
        <f>SUM('WK1:WK5'!P42)</f>
        <v>0</v>
      </c>
      <c r="M42" s="207">
        <f t="shared" si="31"/>
        <v>0</v>
      </c>
      <c r="N42" s="222">
        <f>SUM('WK1:WK5'!R42)</f>
        <v>0</v>
      </c>
      <c r="O42" s="218">
        <f>SUM('WK1:WK5'!S42)</f>
        <v>0</v>
      </c>
      <c r="P42" s="223">
        <f>SUM('WK1:WK5'!T42)</f>
        <v>0</v>
      </c>
      <c r="Q42" s="216">
        <f>SUM('WK1:WK5'!U42)</f>
        <v>0</v>
      </c>
      <c r="R42" s="221">
        <f>SUM('WK1:WK5'!V42)</f>
        <v>0</v>
      </c>
      <c r="S42" s="222">
        <f>SUM('WK1:WK5'!W42)</f>
        <v>0</v>
      </c>
      <c r="T42" s="216">
        <f>SUM('WK1:WK5'!X42)</f>
        <v>0</v>
      </c>
      <c r="U42" s="216">
        <f>SUM('WK1:WK5'!Y42)</f>
        <v>0</v>
      </c>
      <c r="V42" s="192">
        <f t="shared" si="32"/>
        <v>0</v>
      </c>
      <c r="W42" s="216">
        <f>SUM('WK1:WK5'!AA42)</f>
        <v>0</v>
      </c>
      <c r="X42" s="216">
        <f>SUM('WK1:WK5'!AB42)</f>
        <v>0</v>
      </c>
      <c r="Y42" s="216">
        <f>SUM('WK1:WK5'!AC42)</f>
        <v>0</v>
      </c>
      <c r="Z42" s="216">
        <f>SUM('WK1:WK5'!AD42)</f>
        <v>0</v>
      </c>
      <c r="AA42" s="192" t="str">
        <f t="shared" si="33"/>
        <v>-</v>
      </c>
      <c r="AB42" s="216">
        <f>SUM('WK1:WK5'!AF42)</f>
        <v>0</v>
      </c>
      <c r="AC42" s="216">
        <f>SUM('WK1:WK5'!AG42)</f>
        <v>0</v>
      </c>
      <c r="AD42" s="216">
        <f>SUM('WK1:WK5'!AH42)</f>
        <v>0</v>
      </c>
      <c r="AE42" s="123">
        <f t="shared" si="34"/>
        <v>0</v>
      </c>
    </row>
    <row r="43" spans="1:31" x14ac:dyDescent="0.25">
      <c r="A43" s="30" t="s">
        <v>44</v>
      </c>
      <c r="B43" s="219">
        <f>ROUNDDOWN(SUM('WK1:WK5'!F43)/MAX(1,INDEX(FREQUENCY('WK1:WK5'!F43,0),2)),0)</f>
        <v>0</v>
      </c>
      <c r="C43" s="217">
        <f>ROUNDDOWN(SUM('WK1:WK5'!G43)/MAX(1,INDEX(FREQUENCY('WK1:WK5'!G43,0),2)),0)</f>
        <v>0</v>
      </c>
      <c r="D43" s="220">
        <f>ROUNDDOWN(SUM('WK1:WK5'!H43)/MAX(1,INDEX(FREQUENCY('WK1:WK5'!H43,0),2)),0)</f>
        <v>0</v>
      </c>
      <c r="E43" s="230">
        <f t="shared" si="30"/>
        <v>0</v>
      </c>
      <c r="F43" s="223">
        <f>SUM('WK1:WK5'!J43)</f>
        <v>0</v>
      </c>
      <c r="G43" s="216">
        <f>SUM('WK1:WK5'!K43)</f>
        <v>0</v>
      </c>
      <c r="H43" s="216">
        <f>SUM('WK1:WK5'!L43)</f>
        <v>0</v>
      </c>
      <c r="I43" s="216">
        <f>SUM('WK1:WK5'!M43)</f>
        <v>0</v>
      </c>
      <c r="J43" s="216">
        <f>SUM('WK1:WK5'!N43)</f>
        <v>0</v>
      </c>
      <c r="K43" s="216">
        <f>SUM('WK1:WK5'!O43)</f>
        <v>0</v>
      </c>
      <c r="L43" s="216">
        <f>SUM('WK1:WK5'!P43)</f>
        <v>0</v>
      </c>
      <c r="M43" s="207">
        <f t="shared" si="31"/>
        <v>0</v>
      </c>
      <c r="N43" s="222">
        <f>SUM('WK1:WK5'!R43)</f>
        <v>0</v>
      </c>
      <c r="O43" s="218">
        <f>SUM('WK1:WK5'!S43)</f>
        <v>0</v>
      </c>
      <c r="P43" s="223">
        <f>SUM('WK1:WK5'!T43)</f>
        <v>0</v>
      </c>
      <c r="Q43" s="216">
        <f>SUM('WK1:WK5'!U43)</f>
        <v>0</v>
      </c>
      <c r="R43" s="221">
        <f>SUM('WK1:WK5'!V43)</f>
        <v>0</v>
      </c>
      <c r="S43" s="222">
        <f>SUM('WK1:WK5'!W43)</f>
        <v>0</v>
      </c>
      <c r="T43" s="216">
        <f>SUM('WK1:WK5'!X43)</f>
        <v>0</v>
      </c>
      <c r="U43" s="216">
        <f>SUM('WK1:WK5'!Y43)</f>
        <v>0</v>
      </c>
      <c r="V43" s="192">
        <f t="shared" si="32"/>
        <v>0</v>
      </c>
      <c r="W43" s="216">
        <f>SUM('WK1:WK5'!AA43)</f>
        <v>0</v>
      </c>
      <c r="X43" s="216">
        <f>SUM('WK1:WK5'!AB43)</f>
        <v>0</v>
      </c>
      <c r="Y43" s="216">
        <f>SUM('WK1:WK5'!AC43)</f>
        <v>0</v>
      </c>
      <c r="Z43" s="216">
        <f>SUM('WK1:WK5'!AD43)</f>
        <v>0</v>
      </c>
      <c r="AA43" s="192" t="str">
        <f t="shared" si="33"/>
        <v>-</v>
      </c>
      <c r="AB43" s="216">
        <f>SUM('WK1:WK5'!AF43)</f>
        <v>0</v>
      </c>
      <c r="AC43" s="216">
        <f>SUM('WK1:WK5'!AG43)</f>
        <v>0</v>
      </c>
      <c r="AD43" s="216">
        <f>SUM('WK1:WK5'!AH43)</f>
        <v>0</v>
      </c>
      <c r="AE43" s="123">
        <f t="shared" si="34"/>
        <v>0</v>
      </c>
    </row>
    <row r="44" spans="1:31" x14ac:dyDescent="0.25">
      <c r="A44" s="30" t="s">
        <v>32</v>
      </c>
      <c r="B44" s="219">
        <f>ROUNDDOWN(SUM('WK1:WK5'!F44)/MAX(1,INDEX(FREQUENCY('WK1:WK5'!F44,0),2)),0)</f>
        <v>650</v>
      </c>
      <c r="C44" s="217">
        <f>ROUNDDOWN(SUM('WK1:WK5'!G44)/MAX(1,INDEX(FREQUENCY('WK1:WK5'!G44,0),2)),0)</f>
        <v>2500</v>
      </c>
      <c r="D44" s="220">
        <f>ROUNDDOWN(SUM('WK1:WK5'!H44)/MAX(1,INDEX(FREQUENCY('WK1:WK5'!H44,0),2)),0)</f>
        <v>0</v>
      </c>
      <c r="E44" s="230">
        <f t="shared" si="30"/>
        <v>3150</v>
      </c>
      <c r="F44" s="223">
        <f>SUM('WK1:WK5'!J44)</f>
        <v>0</v>
      </c>
      <c r="G44" s="216">
        <f>SUM('WK1:WK5'!K44)</f>
        <v>0</v>
      </c>
      <c r="H44" s="216">
        <f>SUM('WK1:WK5'!L44)</f>
        <v>0</v>
      </c>
      <c r="I44" s="216">
        <f>SUM('WK1:WK5'!M44)</f>
        <v>6300</v>
      </c>
      <c r="J44" s="216">
        <f>SUM('WK1:WK5'!N44)</f>
        <v>0</v>
      </c>
      <c r="K44" s="216">
        <f>SUM('WK1:WK5'!O44)</f>
        <v>0</v>
      </c>
      <c r="L44" s="216">
        <f>SUM('WK1:WK5'!P44)</f>
        <v>0</v>
      </c>
      <c r="M44" s="207">
        <f t="shared" si="31"/>
        <v>6300</v>
      </c>
      <c r="N44" s="222">
        <f>SUM('WK1:WK5'!R44)</f>
        <v>0</v>
      </c>
      <c r="O44" s="218">
        <f>SUM('WK1:WK5'!S44)</f>
        <v>0</v>
      </c>
      <c r="P44" s="223">
        <f>SUM('WK1:WK5'!T44)</f>
        <v>0</v>
      </c>
      <c r="Q44" s="216">
        <f>SUM('WK1:WK5'!U44)</f>
        <v>0</v>
      </c>
      <c r="R44" s="221">
        <f>SUM('WK1:WK5'!V44)</f>
        <v>0</v>
      </c>
      <c r="S44" s="222">
        <f>SUM('WK1:WK5'!W44)</f>
        <v>0</v>
      </c>
      <c r="T44" s="216">
        <f>SUM('WK1:WK5'!X44)</f>
        <v>0</v>
      </c>
      <c r="U44" s="216">
        <f>SUM('WK1:WK5'!Y44)</f>
        <v>0</v>
      </c>
      <c r="V44" s="192">
        <f t="shared" si="32"/>
        <v>0</v>
      </c>
      <c r="W44" s="216">
        <f>SUM('WK1:WK5'!AA44)</f>
        <v>0</v>
      </c>
      <c r="X44" s="216">
        <f>SUM('WK1:WK5'!AB44)</f>
        <v>0</v>
      </c>
      <c r="Y44" s="216">
        <f>SUM('WK1:WK5'!AC44)</f>
        <v>0</v>
      </c>
      <c r="Z44" s="216">
        <f>SUM('WK1:WK5'!AD44)</f>
        <v>0</v>
      </c>
      <c r="AA44" s="192" t="str">
        <f t="shared" si="33"/>
        <v>-</v>
      </c>
      <c r="AB44" s="216">
        <f>SUM('WK1:WK5'!AF44)</f>
        <v>0</v>
      </c>
      <c r="AC44" s="216">
        <f>SUM('WK1:WK5'!AG44)</f>
        <v>0</v>
      </c>
      <c r="AD44" s="216">
        <f>SUM('WK1:WK5'!AH44)</f>
        <v>0</v>
      </c>
      <c r="AE44" s="123">
        <f t="shared" si="34"/>
        <v>0</v>
      </c>
    </row>
    <row r="45" spans="1:31" x14ac:dyDescent="0.25">
      <c r="A45" s="30" t="s">
        <v>105</v>
      </c>
      <c r="B45" s="219">
        <f>ROUNDDOWN(SUM('WK1:WK5'!F45)/MAX(1,INDEX(FREQUENCY('WK1:WK5'!F45,0),2)),0)</f>
        <v>0</v>
      </c>
      <c r="C45" s="217">
        <f>ROUNDDOWN(SUM('WK1:WK5'!G45)/MAX(1,INDEX(FREQUENCY('WK1:WK5'!G45,0),2)),0)</f>
        <v>0</v>
      </c>
      <c r="D45" s="220">
        <f>ROUNDDOWN(SUM('WK1:WK5'!H45)/MAX(1,INDEX(FREQUENCY('WK1:WK5'!H45,0),2)),0)</f>
        <v>0</v>
      </c>
      <c r="E45" s="230">
        <f t="shared" si="30"/>
        <v>0</v>
      </c>
      <c r="F45" s="223">
        <f>SUM('WK1:WK5'!J45)</f>
        <v>0</v>
      </c>
      <c r="G45" s="216">
        <f>SUM('WK1:WK5'!K45)</f>
        <v>0</v>
      </c>
      <c r="H45" s="216">
        <f>SUM('WK1:WK5'!L45)</f>
        <v>0</v>
      </c>
      <c r="I45" s="216">
        <f>SUM('WK1:WK5'!M45)</f>
        <v>0</v>
      </c>
      <c r="J45" s="216">
        <f>SUM('WK1:WK5'!N45)</f>
        <v>0</v>
      </c>
      <c r="K45" s="216">
        <f>SUM('WK1:WK5'!O45)</f>
        <v>0</v>
      </c>
      <c r="L45" s="216">
        <f>SUM('WK1:WK5'!P45)</f>
        <v>0</v>
      </c>
      <c r="M45" s="207">
        <f t="shared" si="31"/>
        <v>0</v>
      </c>
      <c r="N45" s="222">
        <f>SUM('WK1:WK5'!R45)</f>
        <v>0</v>
      </c>
      <c r="O45" s="218">
        <f>SUM('WK1:WK5'!S45)</f>
        <v>0</v>
      </c>
      <c r="P45" s="223">
        <f>SUM('WK1:WK5'!T45)</f>
        <v>0</v>
      </c>
      <c r="Q45" s="216">
        <f>SUM('WK1:WK5'!U45)</f>
        <v>0</v>
      </c>
      <c r="R45" s="221">
        <f>SUM('WK1:WK5'!V45)</f>
        <v>0</v>
      </c>
      <c r="S45" s="222">
        <f>SUM('WK1:WK5'!W45)</f>
        <v>0</v>
      </c>
      <c r="T45" s="216">
        <f>SUM('WK1:WK5'!X45)</f>
        <v>0</v>
      </c>
      <c r="U45" s="216">
        <f>SUM('WK1:WK5'!Y45)</f>
        <v>0</v>
      </c>
      <c r="V45" s="192">
        <f t="shared" si="32"/>
        <v>0</v>
      </c>
      <c r="W45" s="216">
        <f>SUM('WK1:WK5'!AA45)</f>
        <v>0</v>
      </c>
      <c r="X45" s="216">
        <f>SUM('WK1:WK5'!AB45)</f>
        <v>0</v>
      </c>
      <c r="Y45" s="216">
        <f>SUM('WK1:WK5'!AC45)</f>
        <v>0</v>
      </c>
      <c r="Z45" s="216">
        <f>SUM('WK1:WK5'!AD45)</f>
        <v>0</v>
      </c>
      <c r="AA45" s="192" t="str">
        <f t="shared" si="33"/>
        <v>-</v>
      </c>
      <c r="AB45" s="216">
        <f>SUM('WK1:WK5'!AF45)</f>
        <v>0</v>
      </c>
      <c r="AC45" s="216">
        <f>SUM('WK1:WK5'!AG45)</f>
        <v>0</v>
      </c>
      <c r="AD45" s="216">
        <f>SUM('WK1:WK5'!AH45)</f>
        <v>0</v>
      </c>
      <c r="AE45" s="123">
        <f t="shared" si="34"/>
        <v>0</v>
      </c>
    </row>
    <row r="46" spans="1:31" x14ac:dyDescent="0.25">
      <c r="A46" s="30" t="s">
        <v>33</v>
      </c>
      <c r="B46" s="219">
        <f>ROUNDDOWN(SUM('WK1:WK5'!F46)/MAX(1,INDEX(FREQUENCY('WK1:WK5'!F46,0),2)),0)</f>
        <v>0</v>
      </c>
      <c r="C46" s="217">
        <f>ROUNDDOWN(SUM('WK1:WK5'!G46)/MAX(1,INDEX(FREQUENCY('WK1:WK5'!G46,0),2)),0)</f>
        <v>0</v>
      </c>
      <c r="D46" s="220">
        <f>ROUNDDOWN(SUM('WK1:WK5'!H46)/MAX(1,INDEX(FREQUENCY('WK1:WK5'!H46,0),2)),0)</f>
        <v>0</v>
      </c>
      <c r="E46" s="230">
        <f t="shared" si="30"/>
        <v>0</v>
      </c>
      <c r="F46" s="223">
        <f>SUM('WK1:WK5'!J46)</f>
        <v>0</v>
      </c>
      <c r="G46" s="216">
        <f>SUM('WK1:WK5'!K46)</f>
        <v>0</v>
      </c>
      <c r="H46" s="216">
        <f>SUM('WK1:WK5'!L46)</f>
        <v>0</v>
      </c>
      <c r="I46" s="216">
        <f>SUM('WK1:WK5'!M46)</f>
        <v>0</v>
      </c>
      <c r="J46" s="216">
        <f>SUM('WK1:WK5'!N46)</f>
        <v>0</v>
      </c>
      <c r="K46" s="216">
        <f>SUM('WK1:WK5'!O46)</f>
        <v>0</v>
      </c>
      <c r="L46" s="216">
        <f>SUM('WK1:WK5'!P46)</f>
        <v>0</v>
      </c>
      <c r="M46" s="207">
        <f t="shared" si="31"/>
        <v>0</v>
      </c>
      <c r="N46" s="222">
        <f>SUM('WK1:WK5'!R46)</f>
        <v>0</v>
      </c>
      <c r="O46" s="218">
        <f>SUM('WK1:WK5'!S46)</f>
        <v>0</v>
      </c>
      <c r="P46" s="223">
        <f>SUM('WK1:WK5'!T46)</f>
        <v>0</v>
      </c>
      <c r="Q46" s="216">
        <f>SUM('WK1:WK5'!U46)</f>
        <v>0</v>
      </c>
      <c r="R46" s="221">
        <f>SUM('WK1:WK5'!V46)</f>
        <v>0</v>
      </c>
      <c r="S46" s="222">
        <f>SUM('WK1:WK5'!W46)</f>
        <v>0</v>
      </c>
      <c r="T46" s="216">
        <f>SUM('WK1:WK5'!X46)</f>
        <v>0</v>
      </c>
      <c r="U46" s="216">
        <f>SUM('WK1:WK5'!Y46)</f>
        <v>0</v>
      </c>
      <c r="V46" s="192">
        <f t="shared" si="32"/>
        <v>0</v>
      </c>
      <c r="W46" s="216">
        <f>SUM('WK1:WK5'!AA46)</f>
        <v>0</v>
      </c>
      <c r="X46" s="216">
        <f>SUM('WK1:WK5'!AB46)</f>
        <v>0</v>
      </c>
      <c r="Y46" s="216">
        <f>SUM('WK1:WK5'!AC46)</f>
        <v>0</v>
      </c>
      <c r="Z46" s="216">
        <f>SUM('WK1:WK5'!AD46)</f>
        <v>0</v>
      </c>
      <c r="AA46" s="192" t="str">
        <f t="shared" si="33"/>
        <v>-</v>
      </c>
      <c r="AB46" s="216">
        <f>SUM('WK1:WK5'!AF46)</f>
        <v>0</v>
      </c>
      <c r="AC46" s="216">
        <f>SUM('WK1:WK5'!AG46)</f>
        <v>0</v>
      </c>
      <c r="AD46" s="216">
        <f>SUM('WK1:WK5'!AH46)</f>
        <v>0</v>
      </c>
      <c r="AE46" s="123">
        <f t="shared" si="34"/>
        <v>0</v>
      </c>
    </row>
    <row r="47" spans="1:31" x14ac:dyDescent="0.25">
      <c r="A47" s="30" t="s">
        <v>34</v>
      </c>
      <c r="B47" s="219">
        <f>ROUNDDOWN(SUM('WK1:WK5'!F47)/MAX(1,INDEX(FREQUENCY('WK1:WK5'!F47,0),2)),0)</f>
        <v>0</v>
      </c>
      <c r="C47" s="217">
        <f>ROUNDDOWN(SUM('WK1:WK5'!G47)/MAX(1,INDEX(FREQUENCY('WK1:WK5'!G47,0),2)),0)</f>
        <v>0</v>
      </c>
      <c r="D47" s="220">
        <f>ROUNDDOWN(SUM('WK1:WK5'!H47)/MAX(1,INDEX(FREQUENCY('WK1:WK5'!H47,0),2)),0)</f>
        <v>0</v>
      </c>
      <c r="E47" s="230">
        <f t="shared" si="30"/>
        <v>0</v>
      </c>
      <c r="F47" s="223">
        <f>SUM('WK1:WK5'!J47)</f>
        <v>0</v>
      </c>
      <c r="G47" s="216">
        <f>SUM('WK1:WK5'!K47)</f>
        <v>0</v>
      </c>
      <c r="H47" s="216">
        <f>SUM('WK1:WK5'!L47)</f>
        <v>0</v>
      </c>
      <c r="I47" s="216">
        <f>SUM('WK1:WK5'!M47)</f>
        <v>0</v>
      </c>
      <c r="J47" s="216">
        <f>SUM('WK1:WK5'!N47)</f>
        <v>0</v>
      </c>
      <c r="K47" s="216">
        <f>SUM('WK1:WK5'!O47)</f>
        <v>0</v>
      </c>
      <c r="L47" s="216">
        <f>SUM('WK1:WK5'!P47)</f>
        <v>0</v>
      </c>
      <c r="M47" s="207">
        <f t="shared" si="31"/>
        <v>0</v>
      </c>
      <c r="N47" s="222">
        <f>SUM('WK1:WK5'!R47)</f>
        <v>0</v>
      </c>
      <c r="O47" s="218">
        <f>SUM('WK1:WK5'!S47)</f>
        <v>0</v>
      </c>
      <c r="P47" s="223">
        <f>SUM('WK1:WK5'!T47)</f>
        <v>0</v>
      </c>
      <c r="Q47" s="216">
        <f>SUM('WK1:WK5'!U47)</f>
        <v>0</v>
      </c>
      <c r="R47" s="221">
        <f>SUM('WK1:WK5'!V47)</f>
        <v>0</v>
      </c>
      <c r="S47" s="222">
        <f>SUM('WK1:WK5'!W47)</f>
        <v>0</v>
      </c>
      <c r="T47" s="216">
        <f>SUM('WK1:WK5'!X47)</f>
        <v>0</v>
      </c>
      <c r="U47" s="216">
        <f>SUM('WK1:WK5'!Y47)</f>
        <v>0</v>
      </c>
      <c r="V47" s="192">
        <f t="shared" si="32"/>
        <v>0</v>
      </c>
      <c r="W47" s="216">
        <f>SUM('WK1:WK5'!AA47)</f>
        <v>0</v>
      </c>
      <c r="X47" s="216">
        <f>SUM('WK1:WK5'!AB47)</f>
        <v>0</v>
      </c>
      <c r="Y47" s="216">
        <f>SUM('WK1:WK5'!AC47)</f>
        <v>0</v>
      </c>
      <c r="Z47" s="216">
        <f>SUM('WK1:WK5'!AD47)</f>
        <v>0</v>
      </c>
      <c r="AA47" s="192" t="str">
        <f t="shared" si="33"/>
        <v>-</v>
      </c>
      <c r="AB47" s="216">
        <f>SUM('WK1:WK5'!AF47)</f>
        <v>0</v>
      </c>
      <c r="AC47" s="216">
        <f>SUM('WK1:WK5'!AG47)</f>
        <v>0</v>
      </c>
      <c r="AD47" s="216">
        <f>SUM('WK1:WK5'!AH47)</f>
        <v>0</v>
      </c>
      <c r="AE47" s="123">
        <f t="shared" si="34"/>
        <v>0</v>
      </c>
    </row>
    <row r="48" spans="1:31" x14ac:dyDescent="0.25">
      <c r="A48" s="30" t="s">
        <v>35</v>
      </c>
      <c r="B48" s="219">
        <f>ROUNDDOWN(SUM('WK1:WK5'!F48)/MAX(1,INDEX(FREQUENCY('WK1:WK5'!F48,0),2)),0)</f>
        <v>0</v>
      </c>
      <c r="C48" s="217">
        <f>ROUNDDOWN(SUM('WK1:WK5'!G48)/MAX(1,INDEX(FREQUENCY('WK1:WK5'!G48,0),2)),0)</f>
        <v>0</v>
      </c>
      <c r="D48" s="220">
        <f>ROUNDDOWN(SUM('WK1:WK5'!H48)/MAX(1,INDEX(FREQUENCY('WK1:WK5'!H48,0),2)),0)</f>
        <v>0</v>
      </c>
      <c r="E48" s="230">
        <f t="shared" si="30"/>
        <v>0</v>
      </c>
      <c r="F48" s="223">
        <f>SUM('WK1:WK5'!J48)</f>
        <v>0</v>
      </c>
      <c r="G48" s="216">
        <f>SUM('WK1:WK5'!K48)</f>
        <v>0</v>
      </c>
      <c r="H48" s="216">
        <f>SUM('WK1:WK5'!L48)</f>
        <v>0</v>
      </c>
      <c r="I48" s="216">
        <f>SUM('WK1:WK5'!M48)</f>
        <v>0</v>
      </c>
      <c r="J48" s="216">
        <f>SUM('WK1:WK5'!N48)</f>
        <v>0</v>
      </c>
      <c r="K48" s="216">
        <f>SUM('WK1:WK5'!O48)</f>
        <v>0</v>
      </c>
      <c r="L48" s="216">
        <f>SUM('WK1:WK5'!P48)</f>
        <v>0</v>
      </c>
      <c r="M48" s="207">
        <f t="shared" si="31"/>
        <v>0</v>
      </c>
      <c r="N48" s="222">
        <f>SUM('WK1:WK5'!R48)</f>
        <v>0</v>
      </c>
      <c r="O48" s="218">
        <f>SUM('WK1:WK5'!S48)</f>
        <v>0</v>
      </c>
      <c r="P48" s="223">
        <f>SUM('WK1:WK5'!T48)</f>
        <v>0</v>
      </c>
      <c r="Q48" s="216">
        <f>SUM('WK1:WK5'!U48)</f>
        <v>0</v>
      </c>
      <c r="R48" s="221">
        <f>SUM('WK1:WK5'!V48)</f>
        <v>0</v>
      </c>
      <c r="S48" s="222">
        <f>SUM('WK1:WK5'!W48)</f>
        <v>0</v>
      </c>
      <c r="T48" s="216">
        <f>SUM('WK1:WK5'!X48)</f>
        <v>0</v>
      </c>
      <c r="U48" s="216">
        <f>SUM('WK1:WK5'!Y48)</f>
        <v>0</v>
      </c>
      <c r="V48" s="192">
        <f t="shared" si="32"/>
        <v>0</v>
      </c>
      <c r="W48" s="216">
        <f>SUM('WK1:WK5'!AA48)</f>
        <v>0</v>
      </c>
      <c r="X48" s="216">
        <f>SUM('WK1:WK5'!AB48)</f>
        <v>0</v>
      </c>
      <c r="Y48" s="216">
        <f>SUM('WK1:WK5'!AC48)</f>
        <v>0</v>
      </c>
      <c r="Z48" s="216">
        <f>SUM('WK1:WK5'!AD48)</f>
        <v>0</v>
      </c>
      <c r="AA48" s="192" t="str">
        <f t="shared" si="33"/>
        <v>-</v>
      </c>
      <c r="AB48" s="216">
        <f>SUM('WK1:WK5'!AF48)</f>
        <v>0</v>
      </c>
      <c r="AC48" s="216">
        <f>SUM('WK1:WK5'!AG48)</f>
        <v>0</v>
      </c>
      <c r="AD48" s="216">
        <f>SUM('WK1:WK5'!AH48)</f>
        <v>0</v>
      </c>
      <c r="AE48" s="123">
        <f t="shared" si="34"/>
        <v>0</v>
      </c>
    </row>
    <row r="49" spans="1:31" ht="15.75" thickBot="1" x14ac:dyDescent="0.3">
      <c r="A49" s="43" t="s">
        <v>112</v>
      </c>
      <c r="B49" s="219">
        <f>ROUNDDOWN(SUM('WK1:WK5'!F49)/MAX(1,INDEX(FREQUENCY('WK1:WK5'!F49,0),2)),0)</f>
        <v>0</v>
      </c>
      <c r="C49" s="217">
        <f>ROUNDDOWN(SUM('WK1:WK5'!G49)/MAX(1,INDEX(FREQUENCY('WK1:WK5'!G49,0),2)),0)</f>
        <v>0</v>
      </c>
      <c r="D49" s="220">
        <f>ROUNDDOWN(SUM('WK1:WK5'!H49)/MAX(1,INDEX(FREQUENCY('WK1:WK5'!H49,0),2)),0)</f>
        <v>0</v>
      </c>
      <c r="E49" s="230">
        <f t="shared" si="30"/>
        <v>0</v>
      </c>
      <c r="F49" s="223">
        <f>SUM('WK1:WK5'!J49)</f>
        <v>0</v>
      </c>
      <c r="G49" s="216">
        <f>SUM('WK1:WK5'!K49)</f>
        <v>0</v>
      </c>
      <c r="H49" s="216">
        <f>SUM('WK1:WK5'!L49)</f>
        <v>0</v>
      </c>
      <c r="I49" s="216">
        <f>SUM('WK1:WK5'!M49)</f>
        <v>0</v>
      </c>
      <c r="J49" s="216">
        <f>SUM('WK1:WK5'!N49)</f>
        <v>0</v>
      </c>
      <c r="K49" s="216">
        <f>SUM('WK1:WK5'!O49)</f>
        <v>0</v>
      </c>
      <c r="L49" s="216">
        <f>SUM('WK1:WK5'!P49)</f>
        <v>0</v>
      </c>
      <c r="M49" s="207">
        <f t="shared" si="31"/>
        <v>0</v>
      </c>
      <c r="N49" s="222">
        <f>SUM('WK1:WK5'!R49)</f>
        <v>0</v>
      </c>
      <c r="O49" s="218">
        <f>SUM('WK1:WK5'!S49)</f>
        <v>0</v>
      </c>
      <c r="P49" s="223">
        <f>SUM('WK1:WK5'!T49)</f>
        <v>0</v>
      </c>
      <c r="Q49" s="216">
        <f>SUM('WK1:WK5'!U49)</f>
        <v>0</v>
      </c>
      <c r="R49" s="221">
        <f>SUM('WK1:WK5'!V49)</f>
        <v>0</v>
      </c>
      <c r="S49" s="222">
        <f>SUM('WK1:WK5'!W49)</f>
        <v>0</v>
      </c>
      <c r="T49" s="216">
        <f>SUM('WK1:WK5'!X49)</f>
        <v>0</v>
      </c>
      <c r="U49" s="216">
        <f>SUM('WK1:WK5'!Y49)</f>
        <v>0</v>
      </c>
      <c r="V49" s="192">
        <f t="shared" si="32"/>
        <v>0</v>
      </c>
      <c r="W49" s="216">
        <f>SUM('WK1:WK5'!AA49)</f>
        <v>0</v>
      </c>
      <c r="X49" s="216">
        <f>SUM('WK1:WK5'!AB49)</f>
        <v>0</v>
      </c>
      <c r="Y49" s="216">
        <f>SUM('WK1:WK5'!AC49)</f>
        <v>0</v>
      </c>
      <c r="Z49" s="216">
        <f>SUM('WK1:WK5'!AD49)</f>
        <v>0</v>
      </c>
      <c r="AA49" s="192" t="str">
        <f t="shared" si="33"/>
        <v>-</v>
      </c>
      <c r="AB49" s="216">
        <f>SUM('WK1:WK5'!AF49)</f>
        <v>0</v>
      </c>
      <c r="AC49" s="216">
        <f>SUM('WK1:WK5'!AG49)</f>
        <v>0</v>
      </c>
      <c r="AD49" s="216">
        <f>SUM('WK1:WK5'!AH49)</f>
        <v>0</v>
      </c>
      <c r="AE49" s="123">
        <f t="shared" si="34"/>
        <v>0</v>
      </c>
    </row>
    <row r="50" spans="1:31" ht="15.75" thickBot="1" x14ac:dyDescent="0.3">
      <c r="A50" s="235"/>
      <c r="B50" s="168">
        <f t="shared" ref="B50:U50" si="35">SUM(B37:B49)</f>
        <v>18332</v>
      </c>
      <c r="C50" s="172">
        <f t="shared" si="35"/>
        <v>14950</v>
      </c>
      <c r="D50" s="172">
        <f t="shared" si="35"/>
        <v>0</v>
      </c>
      <c r="E50" s="231">
        <f t="shared" si="35"/>
        <v>33282</v>
      </c>
      <c r="F50" s="228">
        <f t="shared" si="35"/>
        <v>0</v>
      </c>
      <c r="G50" s="165">
        <f t="shared" si="35"/>
        <v>0</v>
      </c>
      <c r="H50" s="165">
        <f t="shared" si="35"/>
        <v>0</v>
      </c>
      <c r="I50" s="165">
        <f t="shared" si="35"/>
        <v>69490</v>
      </c>
      <c r="J50" s="165">
        <f t="shared" si="35"/>
        <v>4</v>
      </c>
      <c r="K50" s="165">
        <f t="shared" si="35"/>
        <v>4</v>
      </c>
      <c r="L50" s="165">
        <f t="shared" si="35"/>
        <v>0</v>
      </c>
      <c r="M50" s="205">
        <f t="shared" si="35"/>
        <v>69498</v>
      </c>
      <c r="N50" s="198">
        <f t="shared" si="35"/>
        <v>0</v>
      </c>
      <c r="O50" s="225">
        <f t="shared" si="35"/>
        <v>0</v>
      </c>
      <c r="P50" s="224">
        <f t="shared" si="35"/>
        <v>0</v>
      </c>
      <c r="Q50" s="176">
        <f>SUM(Q37:Q49)</f>
        <v>0</v>
      </c>
      <c r="R50" s="187">
        <f t="shared" si="35"/>
        <v>0</v>
      </c>
      <c r="S50" s="198">
        <f t="shared" si="35"/>
        <v>0</v>
      </c>
      <c r="T50" s="204">
        <f>SUM(T37:T49)</f>
        <v>0</v>
      </c>
      <c r="U50" s="205">
        <f t="shared" si="35"/>
        <v>0</v>
      </c>
      <c r="V50" s="206">
        <f>IF(SUM(V37:V49)&gt;0,AVERAGEIF(V37:V49,"&lt;&gt;0"),0)</f>
        <v>0</v>
      </c>
      <c r="W50" s="176">
        <f>SUM(W37:W49)</f>
        <v>0</v>
      </c>
      <c r="X50" s="176">
        <f>SUM(X37:X49)</f>
        <v>0</v>
      </c>
      <c r="Y50" s="176">
        <f>SUM(Y37:Y49)</f>
        <v>0</v>
      </c>
      <c r="Z50" s="187">
        <f>SUM(Z37:Z49)</f>
        <v>0</v>
      </c>
      <c r="AA50" s="161">
        <f>IF(SUM(AA37:AA49),AVERAGEIF(AA37:AA49,"&lt;&gt;0"),0)</f>
        <v>0</v>
      </c>
      <c r="AB50" s="168">
        <f>SUM(AB37:AB49)</f>
        <v>0</v>
      </c>
      <c r="AC50" s="165">
        <f>SUM(AC37:AC49)</f>
        <v>0</v>
      </c>
      <c r="AD50" s="165">
        <f>SUM(AD37:AD49)</f>
        <v>0</v>
      </c>
      <c r="AE50" s="127">
        <f>SUM(AE37:AE49)</f>
        <v>0</v>
      </c>
    </row>
    <row r="51" spans="1:31" ht="15.75" thickBot="1" x14ac:dyDescent="0.3">
      <c r="A51" s="77" t="s">
        <v>119</v>
      </c>
      <c r="B51" s="181">
        <f>B10+B15+B21+B26+B36+B50</f>
        <v>350497</v>
      </c>
      <c r="C51" s="182">
        <f t="shared" ref="C51:U51" si="36">C10+C15+C21+C26+C36+C50</f>
        <v>213044</v>
      </c>
      <c r="D51" s="182">
        <f t="shared" si="36"/>
        <v>0</v>
      </c>
      <c r="E51" s="226">
        <f t="shared" si="36"/>
        <v>563541</v>
      </c>
      <c r="F51" s="229">
        <f t="shared" si="36"/>
        <v>0</v>
      </c>
      <c r="G51" s="182">
        <f t="shared" si="36"/>
        <v>95600</v>
      </c>
      <c r="H51" s="182">
        <f t="shared" si="36"/>
        <v>151835</v>
      </c>
      <c r="I51" s="182">
        <f t="shared" si="36"/>
        <v>2468020</v>
      </c>
      <c r="J51" s="182">
        <f t="shared" si="36"/>
        <v>229</v>
      </c>
      <c r="K51" s="182">
        <f t="shared" si="36"/>
        <v>80</v>
      </c>
      <c r="L51" s="182">
        <f t="shared" si="36"/>
        <v>0</v>
      </c>
      <c r="M51" s="182">
        <f t="shared" si="36"/>
        <v>2715764</v>
      </c>
      <c r="N51" s="181">
        <f t="shared" si="36"/>
        <v>0</v>
      </c>
      <c r="O51" s="226">
        <f t="shared" si="36"/>
        <v>0</v>
      </c>
      <c r="P51" s="128">
        <f t="shared" si="36"/>
        <v>0</v>
      </c>
      <c r="Q51" s="188">
        <f>Q10+Q15+Q21+Q26+Q36+Q50</f>
        <v>0</v>
      </c>
      <c r="R51" s="128">
        <f t="shared" si="36"/>
        <v>0</v>
      </c>
      <c r="S51" s="199">
        <f t="shared" si="36"/>
        <v>0</v>
      </c>
      <c r="T51" s="128">
        <f>T10+T15+T21+T26+T36+T50</f>
        <v>0</v>
      </c>
      <c r="U51" s="180">
        <f t="shared" si="36"/>
        <v>0</v>
      </c>
      <c r="V51" s="190">
        <f>IF(SUM(V6:V50)&gt;0,AVERAGEIF(V6:V50, "&lt;&gt;0"),0)</f>
        <v>0</v>
      </c>
      <c r="W51" s="179">
        <f>W10+W15+W21+W26+W36+W50</f>
        <v>0</v>
      </c>
      <c r="X51" s="188">
        <f>X10+X15+X21+X26+X36+X50</f>
        <v>0</v>
      </c>
      <c r="Y51" s="180">
        <f>Y10+Y15+Y21+Y26+Y36+Y50</f>
        <v>0</v>
      </c>
      <c r="Z51" s="180">
        <f>Z10+Z15+Z21+Z26+Z36+Z50</f>
        <v>0</v>
      </c>
      <c r="AA51" s="190">
        <f>IF(SUM(AA6:AA50)&gt;0,AVERAGEIF(AA6:AA50, "&lt;&gt;0"),0)</f>
        <v>0</v>
      </c>
      <c r="AB51" s="179">
        <f>AB10+AB15+AB21+AB26+AB36+AB50</f>
        <v>0</v>
      </c>
      <c r="AC51" s="180">
        <f>AC10+AC15+AC21+AC26+AC36+AC50</f>
        <v>0</v>
      </c>
      <c r="AD51" s="180">
        <f>AD10+AD15+AD21+AD26+AD36+AD50</f>
        <v>0</v>
      </c>
      <c r="AE51" s="190">
        <f>AE10+AE15+AE21+AE26+AE36+AE50</f>
        <v>0</v>
      </c>
    </row>
    <row r="55" spans="1:31" x14ac:dyDescent="0.25">
      <c r="C55" s="133"/>
    </row>
  </sheetData>
  <sheetProtection password="A367" sheet="1" objects="1" scenarios="1"/>
  <mergeCells count="8">
    <mergeCell ref="A1:A3"/>
    <mergeCell ref="B4:E4"/>
    <mergeCell ref="F4:M4"/>
    <mergeCell ref="N4:O4"/>
    <mergeCell ref="P4:R4"/>
    <mergeCell ref="W4:AA4"/>
    <mergeCell ref="AB4:AE4"/>
    <mergeCell ref="S4:V4"/>
  </mergeCells>
  <conditionalFormatting sqref="AB26:AE26 AB36:AE36 AE6:AE9">
    <cfRule type="containsBlanks" dxfId="27" priority="70">
      <formula>LEN(TRIM(AB6))=0</formula>
    </cfRule>
  </conditionalFormatting>
  <conditionalFormatting sqref="S26 S36 W26:Z26 U36 U26 V6:V9 W36:Z36">
    <cfRule type="containsBlanks" dxfId="26" priority="61">
      <formula>LEN(TRIM(S6))=0</formula>
    </cfRule>
  </conditionalFormatting>
  <conditionalFormatting sqref="AA6:AA9">
    <cfRule type="containsBlanks" dxfId="25" priority="52">
      <formula>LEN(TRIM(AA6))=0</formula>
    </cfRule>
  </conditionalFormatting>
  <conditionalFormatting sqref="M6:M9">
    <cfRule type="containsBlanks" dxfId="24" priority="40">
      <formula>LEN(TRIM(M6))=0</formula>
    </cfRule>
  </conditionalFormatting>
  <conditionalFormatting sqref="G26:O26 G36:O36">
    <cfRule type="containsBlanks" dxfId="23" priority="41">
      <formula>LEN(TRIM(G26))=0</formula>
    </cfRule>
  </conditionalFormatting>
  <conditionalFormatting sqref="P26 R26 R36 P36">
    <cfRule type="containsBlanks" dxfId="22" priority="35">
      <formula>LEN(TRIM(P26))=0</formula>
    </cfRule>
  </conditionalFormatting>
  <conditionalFormatting sqref="Q26 Q36">
    <cfRule type="containsBlanks" dxfId="21" priority="30">
      <formula>LEN(TRIM(Q26))=0</formula>
    </cfRule>
  </conditionalFormatting>
  <conditionalFormatting sqref="T36 T26">
    <cfRule type="containsBlanks" dxfId="20" priority="26">
      <formula>LEN(TRIM(T26))=0</formula>
    </cfRule>
  </conditionalFormatting>
  <conditionalFormatting sqref="AE11:AE14">
    <cfRule type="containsBlanks" dxfId="19" priority="20">
      <formula>LEN(TRIM(AE11))=0</formula>
    </cfRule>
  </conditionalFormatting>
  <conditionalFormatting sqref="V11:V14">
    <cfRule type="containsBlanks" dxfId="18" priority="19">
      <formula>LEN(TRIM(V11))=0</formula>
    </cfRule>
  </conditionalFormatting>
  <conditionalFormatting sqref="AA11:AA14">
    <cfRule type="containsBlanks" dxfId="17" priority="18">
      <formula>LEN(TRIM(AA11))=0</formula>
    </cfRule>
  </conditionalFormatting>
  <conditionalFormatting sqref="M11:M14">
    <cfRule type="containsBlanks" dxfId="16" priority="17">
      <formula>LEN(TRIM(M11))=0</formula>
    </cfRule>
  </conditionalFormatting>
  <conditionalFormatting sqref="AE16:AE20">
    <cfRule type="containsBlanks" dxfId="15" priority="16">
      <formula>LEN(TRIM(AE16))=0</formula>
    </cfRule>
  </conditionalFormatting>
  <conditionalFormatting sqref="V16:V20">
    <cfRule type="containsBlanks" dxfId="14" priority="15">
      <formula>LEN(TRIM(V16))=0</formula>
    </cfRule>
  </conditionalFormatting>
  <conditionalFormatting sqref="AA16:AA20">
    <cfRule type="containsBlanks" dxfId="13" priority="14">
      <formula>LEN(TRIM(AA16))=0</formula>
    </cfRule>
  </conditionalFormatting>
  <conditionalFormatting sqref="M16:M20">
    <cfRule type="containsBlanks" dxfId="12" priority="13">
      <formula>LEN(TRIM(M16))=0</formula>
    </cfRule>
  </conditionalFormatting>
  <conditionalFormatting sqref="AE22:AE25">
    <cfRule type="containsBlanks" dxfId="11" priority="12">
      <formula>LEN(TRIM(AE22))=0</formula>
    </cfRule>
  </conditionalFormatting>
  <conditionalFormatting sqref="V22:V25">
    <cfRule type="containsBlanks" dxfId="10" priority="11">
      <formula>LEN(TRIM(V22))=0</formula>
    </cfRule>
  </conditionalFormatting>
  <conditionalFormatting sqref="AA22:AA25">
    <cfRule type="containsBlanks" dxfId="9" priority="10">
      <formula>LEN(TRIM(AA22))=0</formula>
    </cfRule>
  </conditionalFormatting>
  <conditionalFormatting sqref="M22:M25">
    <cfRule type="containsBlanks" dxfId="8" priority="9">
      <formula>LEN(TRIM(M22))=0</formula>
    </cfRule>
  </conditionalFormatting>
  <conditionalFormatting sqref="AE27:AE35">
    <cfRule type="containsBlanks" dxfId="7" priority="8">
      <formula>LEN(TRIM(AE27))=0</formula>
    </cfRule>
  </conditionalFormatting>
  <conditionalFormatting sqref="V27:V35">
    <cfRule type="containsBlanks" dxfId="6" priority="7">
      <formula>LEN(TRIM(V27))=0</formula>
    </cfRule>
  </conditionalFormatting>
  <conditionalFormatting sqref="AA27:AA35">
    <cfRule type="containsBlanks" dxfId="5" priority="6">
      <formula>LEN(TRIM(AA27))=0</formula>
    </cfRule>
  </conditionalFormatting>
  <conditionalFormatting sqref="M27:M35">
    <cfRule type="containsBlanks" dxfId="4" priority="5">
      <formula>LEN(TRIM(M27))=0</formula>
    </cfRule>
  </conditionalFormatting>
  <conditionalFormatting sqref="AE37:AE49">
    <cfRule type="containsBlanks" dxfId="3" priority="4">
      <formula>LEN(TRIM(AE37))=0</formula>
    </cfRule>
  </conditionalFormatting>
  <conditionalFormatting sqref="V37:V49">
    <cfRule type="containsBlanks" dxfId="2" priority="3">
      <formula>LEN(TRIM(V37))=0</formula>
    </cfRule>
  </conditionalFormatting>
  <conditionalFormatting sqref="AA37:AA49">
    <cfRule type="containsBlanks" dxfId="1" priority="2">
      <formula>LEN(TRIM(AA37))=0</formula>
    </cfRule>
  </conditionalFormatting>
  <conditionalFormatting sqref="M37:M49">
    <cfRule type="containsBlanks" dxfId="0" priority="1">
      <formula>LEN(TRIM(M37))=0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182</vt:i4>
      </vt:variant>
    </vt:vector>
  </HeadingPairs>
  <TitlesOfParts>
    <vt:vector size="190" baseType="lpstr">
      <vt:lpstr>Summary</vt:lpstr>
      <vt:lpstr>Weekly Analysis</vt:lpstr>
      <vt:lpstr>WK1</vt:lpstr>
      <vt:lpstr>WK2 </vt:lpstr>
      <vt:lpstr>WK3</vt:lpstr>
      <vt:lpstr>WK4</vt:lpstr>
      <vt:lpstr>WK5</vt:lpstr>
      <vt:lpstr>Monthly_Totals</vt:lpstr>
      <vt:lpstr>AA_Goodnews</vt:lpstr>
      <vt:lpstr>AA_Heritage</vt:lpstr>
      <vt:lpstr>AA_Love</vt:lpstr>
      <vt:lpstr>AA_Maranatha</vt:lpstr>
      <vt:lpstr>AA_Oyigbo</vt:lpstr>
      <vt:lpstr>AA_Revival</vt:lpstr>
      <vt:lpstr>AA_Zone</vt:lpstr>
      <vt:lpstr>AD_Goodnews</vt:lpstr>
      <vt:lpstr>AD_Heritage</vt:lpstr>
      <vt:lpstr>AD_Love</vt:lpstr>
      <vt:lpstr>AD_Maranatha</vt:lpstr>
      <vt:lpstr>AD_Oyigbo</vt:lpstr>
      <vt:lpstr>AD_Revival</vt:lpstr>
      <vt:lpstr>AD_Zone</vt:lpstr>
      <vt:lpstr>AE_Goodnews</vt:lpstr>
      <vt:lpstr>AE_Heritage</vt:lpstr>
      <vt:lpstr>AE_Love</vt:lpstr>
      <vt:lpstr>AE_Maranatha</vt:lpstr>
      <vt:lpstr>AE_Oyigbo</vt:lpstr>
      <vt:lpstr>AE_Revival</vt:lpstr>
      <vt:lpstr>AE_Zone</vt:lpstr>
      <vt:lpstr>AF_Goodnews</vt:lpstr>
      <vt:lpstr>AF_Heritage</vt:lpstr>
      <vt:lpstr>AF_Love</vt:lpstr>
      <vt:lpstr>AF_Maranatha</vt:lpstr>
      <vt:lpstr>AF_Oyigbo</vt:lpstr>
      <vt:lpstr>AF_Revival</vt:lpstr>
      <vt:lpstr>AF_Zone</vt:lpstr>
      <vt:lpstr>AG_Goodnews</vt:lpstr>
      <vt:lpstr>AG_Heritage</vt:lpstr>
      <vt:lpstr>AG_Love</vt:lpstr>
      <vt:lpstr>AG_Maranatha</vt:lpstr>
      <vt:lpstr>AG_Oyigbo</vt:lpstr>
      <vt:lpstr>AG_Revival</vt:lpstr>
      <vt:lpstr>AG_Zone</vt:lpstr>
      <vt:lpstr>AL_Goodnews</vt:lpstr>
      <vt:lpstr>AL_Heritage</vt:lpstr>
      <vt:lpstr>AL_Love</vt:lpstr>
      <vt:lpstr>AL_Maranatha</vt:lpstr>
      <vt:lpstr>AL_Oyigbo</vt:lpstr>
      <vt:lpstr>AL_Revival</vt:lpstr>
      <vt:lpstr>AL_Zone</vt:lpstr>
      <vt:lpstr>AM_Goodnews</vt:lpstr>
      <vt:lpstr>AM_Heritage</vt:lpstr>
      <vt:lpstr>AM_Love</vt:lpstr>
      <vt:lpstr>AM_Maranatha</vt:lpstr>
      <vt:lpstr>AM_Oyigbo</vt:lpstr>
      <vt:lpstr>AM_Revival</vt:lpstr>
      <vt:lpstr>AM_Zone</vt:lpstr>
      <vt:lpstr>AN_Goodnews</vt:lpstr>
      <vt:lpstr>AN_Heritage</vt:lpstr>
      <vt:lpstr>AN_Love</vt:lpstr>
      <vt:lpstr>AN_Maranatha</vt:lpstr>
      <vt:lpstr>AN_Oyigbo</vt:lpstr>
      <vt:lpstr>AN_Revival</vt:lpstr>
      <vt:lpstr>AN_Zone</vt:lpstr>
      <vt:lpstr>AO_Goodnews</vt:lpstr>
      <vt:lpstr>AO_Heritage</vt:lpstr>
      <vt:lpstr>AO_Love</vt:lpstr>
      <vt:lpstr>AO_Maranatha</vt:lpstr>
      <vt:lpstr>AO_Oyigbo</vt:lpstr>
      <vt:lpstr>AO_Revival</vt:lpstr>
      <vt:lpstr>AO_Zone</vt:lpstr>
      <vt:lpstr>AQ_Goodnews</vt:lpstr>
      <vt:lpstr>AQ_Heritage</vt:lpstr>
      <vt:lpstr>AQ_Love</vt:lpstr>
      <vt:lpstr>AQ_Maranatha</vt:lpstr>
      <vt:lpstr>AQ_Oyigbo</vt:lpstr>
      <vt:lpstr>AQ_Revival</vt:lpstr>
      <vt:lpstr>AQ_Zone</vt:lpstr>
      <vt:lpstr>AR_Goodnews</vt:lpstr>
      <vt:lpstr>AR_Heritage</vt:lpstr>
      <vt:lpstr>AR_Love</vt:lpstr>
      <vt:lpstr>AR_Maranatha</vt:lpstr>
      <vt:lpstr>AR_Oyigbo</vt:lpstr>
      <vt:lpstr>AR_Revival</vt:lpstr>
      <vt:lpstr>AR_Zone</vt:lpstr>
      <vt:lpstr>AS_Goodnews</vt:lpstr>
      <vt:lpstr>AS_Heritage</vt:lpstr>
      <vt:lpstr>AS_Love</vt:lpstr>
      <vt:lpstr>AS_Maranatha</vt:lpstr>
      <vt:lpstr>AS_Oyigbo</vt:lpstr>
      <vt:lpstr>AS_Revival</vt:lpstr>
      <vt:lpstr>AS_Zone</vt:lpstr>
      <vt:lpstr>AT_Goodnews</vt:lpstr>
      <vt:lpstr>AT_Heritage</vt:lpstr>
      <vt:lpstr>AT_Love</vt:lpstr>
      <vt:lpstr>AT_Maranatha</vt:lpstr>
      <vt:lpstr>AT_Oyigbo</vt:lpstr>
      <vt:lpstr>AT_Revival</vt:lpstr>
      <vt:lpstr>AT_Zone</vt:lpstr>
      <vt:lpstr>AU_Goodnews</vt:lpstr>
      <vt:lpstr>AU_Heritage</vt:lpstr>
      <vt:lpstr>AU_Love</vt:lpstr>
      <vt:lpstr>AU_Maranatha</vt:lpstr>
      <vt:lpstr>AU_Oyigbo</vt:lpstr>
      <vt:lpstr>AU_Revival</vt:lpstr>
      <vt:lpstr>AU_Zone</vt:lpstr>
      <vt:lpstr>BF_Goodnews</vt:lpstr>
      <vt:lpstr>BF_Heritage</vt:lpstr>
      <vt:lpstr>BF_Love</vt:lpstr>
      <vt:lpstr>BF_Maranatha</vt:lpstr>
      <vt:lpstr>BF_Oyigbo</vt:lpstr>
      <vt:lpstr>BF_Revival</vt:lpstr>
      <vt:lpstr>BF_Zone</vt:lpstr>
      <vt:lpstr>J_Goodnews</vt:lpstr>
      <vt:lpstr>J_Heritage</vt:lpstr>
      <vt:lpstr>J_Love</vt:lpstr>
      <vt:lpstr>J_Maranatha</vt:lpstr>
      <vt:lpstr>J_Oyigbo</vt:lpstr>
      <vt:lpstr>J_Revival</vt:lpstr>
      <vt:lpstr>J_Zone</vt:lpstr>
      <vt:lpstr>K_Goodnews</vt:lpstr>
      <vt:lpstr>K_Heritage</vt:lpstr>
      <vt:lpstr>K_Love</vt:lpstr>
      <vt:lpstr>K_Maranatha</vt:lpstr>
      <vt:lpstr>K_Oyigbo</vt:lpstr>
      <vt:lpstr>K_Revival</vt:lpstr>
      <vt:lpstr>K_Zone</vt:lpstr>
      <vt:lpstr>L_Goodnews</vt:lpstr>
      <vt:lpstr>L_Heritage</vt:lpstr>
      <vt:lpstr>L_Love</vt:lpstr>
      <vt:lpstr>L_Maranatha</vt:lpstr>
      <vt:lpstr>L_Oyigbo</vt:lpstr>
      <vt:lpstr>L_Revival</vt:lpstr>
      <vt:lpstr>L_Zone</vt:lpstr>
      <vt:lpstr>M_Goodnews</vt:lpstr>
      <vt:lpstr>M_Heritage</vt:lpstr>
      <vt:lpstr>M_Love</vt:lpstr>
      <vt:lpstr>M_Maranatha</vt:lpstr>
      <vt:lpstr>M_Oyigbo</vt:lpstr>
      <vt:lpstr>M_Revival</vt:lpstr>
      <vt:lpstr>M_Zone</vt:lpstr>
      <vt:lpstr>O_Goodnews</vt:lpstr>
      <vt:lpstr>O_Heritage</vt:lpstr>
      <vt:lpstr>O_Love</vt:lpstr>
      <vt:lpstr>O_Maranatha</vt:lpstr>
      <vt:lpstr>O_Oyigbo</vt:lpstr>
      <vt:lpstr>O_Revival</vt:lpstr>
      <vt:lpstr>O_Zone</vt:lpstr>
      <vt:lpstr>P_Goodnews</vt:lpstr>
      <vt:lpstr>P_Heritage</vt:lpstr>
      <vt:lpstr>P_Love</vt:lpstr>
      <vt:lpstr>P_Maranatha</vt:lpstr>
      <vt:lpstr>P_Oyigbo</vt:lpstr>
      <vt:lpstr>P_Revival</vt:lpstr>
      <vt:lpstr>P_Zone</vt:lpstr>
      <vt:lpstr>Q_Goodnews</vt:lpstr>
      <vt:lpstr>Q_Heritage</vt:lpstr>
      <vt:lpstr>Q_Love</vt:lpstr>
      <vt:lpstr>Q_Maranatha</vt:lpstr>
      <vt:lpstr>Q_Oyigbo</vt:lpstr>
      <vt:lpstr>Q_Revival</vt:lpstr>
      <vt:lpstr>Q_Zone</vt:lpstr>
      <vt:lpstr>R_Goodnews</vt:lpstr>
      <vt:lpstr>R_Heritage</vt:lpstr>
      <vt:lpstr>R_Love</vt:lpstr>
      <vt:lpstr>R_Maranatha</vt:lpstr>
      <vt:lpstr>R_Oyigbo</vt:lpstr>
      <vt:lpstr>R_Revival</vt:lpstr>
      <vt:lpstr>R_Zone</vt:lpstr>
      <vt:lpstr>S_Goodnews</vt:lpstr>
      <vt:lpstr>S_Heritage</vt:lpstr>
      <vt:lpstr>S_Love</vt:lpstr>
      <vt:lpstr>S_Maranatha</vt:lpstr>
      <vt:lpstr>S_Oyigbo</vt:lpstr>
      <vt:lpstr>S_Revival</vt:lpstr>
      <vt:lpstr>S_Zone</vt:lpstr>
      <vt:lpstr>X_Goodnews</vt:lpstr>
      <vt:lpstr>X_Heritage</vt:lpstr>
      <vt:lpstr>X_Love</vt:lpstr>
      <vt:lpstr>X_Maranatha</vt:lpstr>
      <vt:lpstr>X_Oyigbo</vt:lpstr>
      <vt:lpstr>X_Revival</vt:lpstr>
      <vt:lpstr>X_Zone</vt:lpstr>
      <vt:lpstr>Y_Goodnews</vt:lpstr>
      <vt:lpstr>Y_Heritage</vt:lpstr>
      <vt:lpstr>Y_Love</vt:lpstr>
      <vt:lpstr>Y_Maranatha</vt:lpstr>
      <vt:lpstr>Y_Oyigbo</vt:lpstr>
      <vt:lpstr>Y_Revival</vt:lpstr>
      <vt:lpstr>Y_Zone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Ashiriba</dc:creator>
  <cp:lastModifiedBy>CHIMKAMMA</cp:lastModifiedBy>
  <dcterms:created xsi:type="dcterms:W3CDTF">2022-07-05T10:31:59Z</dcterms:created>
  <dcterms:modified xsi:type="dcterms:W3CDTF">2026-04-08T21:48:48Z</dcterms:modified>
</cp:coreProperties>
</file>